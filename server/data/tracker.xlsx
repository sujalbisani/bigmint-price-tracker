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HRC " sheetId="2" state="visible" r:id="rId2"/>
    <sheet xmlns:r="http://schemas.openxmlformats.org/officeDocument/2006/relationships" name="Iron Ore and Scrap" sheetId="3" state="visible" r:id="rId3"/>
    <sheet xmlns:r="http://schemas.openxmlformats.org/officeDocument/2006/relationships" name="Billets and Rounds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Delta-Monthly" sheetId="6" state="visible" r:id="rId6"/>
    <sheet xmlns:r="http://schemas.openxmlformats.org/officeDocument/2006/relationships" name="Delta Quarterly" sheetId="7" state="visible" r:id="rId7"/>
    <sheet xmlns:r="http://schemas.openxmlformats.org/officeDocument/2006/relationships" name="Monthly Copy" sheetId="8" state="visible" r:id="rId8"/>
    <sheet xmlns:r="http://schemas.openxmlformats.org/officeDocument/2006/relationships" name="Char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 * #,##0.00_ ;_ * \-#,##0.00_ ;_ * &quot;-&quot;??_ ;_ @_ "/>
    <numFmt numFmtId="166" formatCode="&quot;₹&quot;\ #,##0.00"/>
  </numFmts>
  <fonts count="2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i val="1"/>
      <color rgb="FF7F7F7F"/>
      <sz val="9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rial"/>
      <family val="2"/>
      <color rgb="FF7F7F7F"/>
      <sz val="9"/>
    </font>
    <font>
      <name val="Arial"/>
      <family val="2"/>
      <i val="1"/>
      <color theme="1"/>
      <sz val="11"/>
    </font>
    <font>
      <name val="Arial"/>
      <family val="2"/>
      <color theme="1"/>
      <sz val="11"/>
    </font>
    <font>
      <name val="Aptos"/>
      <family val="2"/>
      <b val="1"/>
      <color theme="1"/>
      <sz val="10"/>
    </font>
    <font>
      <name val="Aptos"/>
      <family val="2"/>
      <b val="1"/>
      <color theme="1"/>
      <sz val="11"/>
    </font>
    <font>
      <name val="Aptos"/>
      <family val="2"/>
      <i val="1"/>
      <color theme="1"/>
      <sz val="11"/>
    </font>
    <font>
      <name val="Aptos"/>
      <family val="2"/>
      <color theme="1"/>
      <sz val="11"/>
    </font>
    <font>
      <name val="Aptos Narrow"/>
      <family val="2"/>
      <b val="1"/>
      <color theme="1"/>
      <sz val="9"/>
      <scheme val="minor"/>
    </font>
    <font>
      <name val="Arial"/>
      <family val="2"/>
      <color rgb="FF2D2D2D"/>
      <sz val="11"/>
    </font>
    <font>
      <name val="Aptos"/>
      <family val="2"/>
      <color theme="1"/>
      <sz val="9"/>
    </font>
    <font>
      <name val="Aptos"/>
      <family val="2"/>
      <b val="1"/>
      <color theme="1"/>
      <sz val="9"/>
    </font>
  </fonts>
  <fills count="8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rgb="FFFF8080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899990844447157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1" fillId="0" borderId="0"/>
    <xf numFmtId="43" fontId="1" fillId="0" borderId="0"/>
    <xf numFmtId="0" fontId="3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3" fillId="0" borderId="1" pivotButton="0" quotePrefix="0" xfId="2"/>
    <xf numFmtId="164" fontId="5" fillId="0" borderId="1" applyAlignment="1" pivotButton="0" quotePrefix="0" xfId="1">
      <alignment horizontal="center" vertical="center"/>
    </xf>
    <xf numFmtId="164" fontId="5" fillId="0" borderId="1" applyAlignment="1" pivotButton="0" quotePrefix="0" xfId="1">
      <alignment horizontal="right" vertical="center"/>
    </xf>
    <xf numFmtId="164" fontId="5" fillId="0" borderId="2" applyAlignment="1" pivotButton="0" quotePrefix="0" xfId="1">
      <alignment horizontal="center" vertical="center"/>
    </xf>
    <xf numFmtId="0" fontId="3" fillId="0" borderId="0" pivotButton="0" quotePrefix="0" xfId="2"/>
    <xf numFmtId="164" fontId="5" fillId="0" borderId="0" applyAlignment="1" pivotButton="0" quotePrefix="0" xfId="1">
      <alignment horizontal="center" vertic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165" fontId="5" fillId="0" borderId="0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1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1" fillId="0" borderId="0" pivotButton="0" quotePrefix="0" xfId="0"/>
    <xf numFmtId="3" fontId="5" fillId="0" borderId="0" applyAlignment="1" pivotButton="0" quotePrefix="0" xfId="0">
      <alignment horizontal="center"/>
    </xf>
    <xf numFmtId="1" fontId="0" fillId="0" borderId="1" pivotButton="0" quotePrefix="0" xfId="0"/>
    <xf numFmtId="1" fontId="0" fillId="0" borderId="13" pivotButton="0" quotePrefix="0" xfId="0"/>
    <xf numFmtId="0" fontId="0" fillId="0" borderId="1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1">
      <alignment horizontal="center" vertical="center"/>
    </xf>
    <xf numFmtId="14" fontId="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2" fillId="0" borderId="3" applyAlignment="1" pivotButton="0" quotePrefix="0" xfId="0">
      <alignment horizontal="left" vertical="center" wrapText="1"/>
    </xf>
    <xf numFmtId="1" fontId="13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7" fillId="0" borderId="1" pivotButton="0" quotePrefix="0" xfId="0"/>
    <xf numFmtId="0" fontId="4" fillId="4" borderId="14" applyAlignment="1" pivotButton="0" quotePrefix="0" xfId="0">
      <alignment horizontal="center" vertical="center" wrapText="1"/>
    </xf>
    <xf numFmtId="166" fontId="10" fillId="0" borderId="1" pivotButton="0" quotePrefix="0" xfId="0"/>
    <xf numFmtId="0" fontId="10" fillId="0" borderId="1" pivotButton="0" quotePrefix="0" xfId="0"/>
    <xf numFmtId="165" fontId="20" fillId="0" borderId="1" pivotButton="0" quotePrefix="0" xfId="1"/>
    <xf numFmtId="0" fontId="20" fillId="0" borderId="1" pivotButton="0" quotePrefix="0" xfId="0"/>
    <xf numFmtId="165" fontId="20" fillId="5" borderId="1" pivotButton="0" quotePrefix="0" xfId="1"/>
    <xf numFmtId="165" fontId="21" fillId="7" borderId="1" pivotButton="0" quotePrefix="0" xfId="1"/>
    <xf numFmtId="0" fontId="10" fillId="6" borderId="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166" fontId="10" fillId="0" borderId="0" pivotButton="0" quotePrefix="0" xfId="0"/>
    <xf numFmtId="0" fontId="19" fillId="0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4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6" pivotButton="0" quotePrefix="0" xfId="0"/>
    <xf numFmtId="0" fontId="18" fillId="4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2" fillId="2" borderId="12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2" fillId="2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15" fillId="2" borderId="1" applyAlignment="1" pivotButton="0" quotePrefix="0" xfId="0">
      <alignment horizontal="center"/>
    </xf>
    <xf numFmtId="0" fontId="14" fillId="3" borderId="1" applyAlignment="1" pivotButton="0" quotePrefix="0" xfId="0">
      <alignment horizontal="center" vertical="center" wrapText="1"/>
    </xf>
    <xf numFmtId="165" fontId="5" fillId="0" borderId="0" applyAlignment="1" pivotButton="0" quotePrefix="0" xfId="1">
      <alignment horizontal="center" vertical="center"/>
    </xf>
    <xf numFmtId="165" fontId="4" fillId="4" borderId="1" applyAlignment="1" pivotButton="0" quotePrefix="0" xfId="1">
      <alignment horizontal="center" vertical="center"/>
    </xf>
    <xf numFmtId="165" fontId="20" fillId="0" borderId="1" pivotButton="0" quotePrefix="0" xfId="1"/>
    <xf numFmtId="165" fontId="21" fillId="7" borderId="1" pivotButton="0" quotePrefix="0" xfId="1"/>
    <xf numFmtId="165" fontId="20" fillId="5" borderId="1" pivotButton="0" quotePrefix="0" xfId="1"/>
    <xf numFmtId="166" fontId="10" fillId="0" borderId="0" pivotButton="0" quotePrefix="0" xfId="0"/>
    <xf numFmtId="166" fontId="10" fillId="0" borderId="1" pivotButton="0" quotePrefix="0" xfId="0"/>
    <xf numFmtId="165" fontId="2" fillId="2" borderId="1" applyAlignment="1" pivotButton="0" quotePrefix="0" xfId="1">
      <alignment horizontal="center" vertical="center"/>
    </xf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Pig</a:t>
            </a:r>
            <a:r>
              <a:rPr lang="en-IN" baseline="0"/>
              <a:t xml:space="preserve"> Iron v/s Sponge Iron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Pig Iron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Copy'!$E$1:$AF$1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'Monthly Copy'!$E$2:$AF$2</f>
              <numCache>
                <formatCode>0</formatCode>
                <ptCount val="28"/>
                <pt idx="0">
                  <v>40032.69</v>
                </pt>
                <pt idx="1">
                  <v>42674.07</v>
                </pt>
                <pt idx="2">
                  <v>39478</v>
                </pt>
                <pt idx="3">
                  <v>38025.93</v>
                </pt>
                <pt idx="4">
                  <v>36812</v>
                </pt>
                <pt idx="5">
                  <v>36724</v>
                </pt>
                <pt idx="6">
                  <v>38275</v>
                </pt>
                <pt idx="7">
                  <v>34677.08</v>
                </pt>
                <pt idx="8">
                  <v>32498</v>
                </pt>
                <pt idx="9">
                  <v>32537.04</v>
                </pt>
                <pt idx="10">
                  <v>33358.33</v>
                </pt>
                <pt idx="11">
                  <v>35887.5</v>
                </pt>
                <pt idx="12">
                  <formatCode xml:space="preserve">_ * #,##0_ ;_ * \-#,##0_ ;_ * "-"??_ ;_ @_ </formatCode>
                  <v>35834.6</v>
                </pt>
                <pt idx="13">
                  <formatCode xml:space="preserve">_ * #,##0_ ;_ * \-#,##0_ ;_ * "-"??_ ;_ @_ </formatCode>
                  <v>33538</v>
                </pt>
                <pt idx="14">
                  <formatCode xml:space="preserve">_ * #,##0_ ;_ * \-#,##0_ ;_ * "-"??_ ;_ @_ </formatCode>
                  <v>32810</v>
                </pt>
                <pt idx="15">
                  <formatCode xml:space="preserve">_ * #,##0_ ;_ * \-#,##0_ ;_ * "-"??_ ;_ @_ </formatCode>
                  <v>32987</v>
                </pt>
                <pt idx="16">
                  <formatCode xml:space="preserve">_ * #,##0_ ;_ * \-#,##0_ ;_ * "-"??_ ;_ @_ </formatCode>
                  <v>33672</v>
                </pt>
                <pt idx="17">
                  <formatCode xml:space="preserve">_ * #,##0_ ;_ * \-#,##0_ ;_ * "-"??_ ;_ @_ </formatCode>
                  <v>33092</v>
                </pt>
                <pt idx="18">
                  <formatCode xml:space="preserve">_ * #,##0_ ;_ * \-#,##0_ ;_ * "-"??_ ;_ @_ </formatCode>
                  <v>32255</v>
                </pt>
                <pt idx="19">
                  <formatCode xml:space="preserve">_ * #,##0_ ;_ * \-#,##0_ ;_ * "-"??_ ;_ @_ </formatCode>
                  <v>32388</v>
                </pt>
                <pt idx="20">
                  <formatCode xml:space="preserve">_ * #,##0_ ;_ * \-#,##0_ ;_ * "-"??_ ;_ @_ </formatCode>
                  <v>33023</v>
                </pt>
                <pt idx="21">
                  <formatCode xml:space="preserve">_ * #,##0_ ;_ * \-#,##0_ ;_ * "-"??_ ;_ @_ </formatCode>
                  <v>37477</v>
                </pt>
                <pt idx="22">
                  <formatCode xml:space="preserve">_ * #,##0_ ;_ * \-#,##0_ ;_ * "-"??_ ;_ @_ </formatCode>
                  <v>38167</v>
                </pt>
                <pt idx="23">
                  <formatCode xml:space="preserve">_ * #,##0_ ;_ * \-#,##0_ ;_ * "-"??_ ;_ @_ </formatCode>
                  <v>37790</v>
                </pt>
                <pt idx="24">
                  <formatCode xml:space="preserve">_ * #,##0_ ;_ * \-#,##0_ ;_ * "-"??_ ;_ @_ </formatCode>
                  <v>39498</v>
                </pt>
                <pt idx="25">
                  <formatCode xml:space="preserve">_ * #,##0_ ;_ * \-#,##0_ ;_ * "-"??_ ;_ @_ </formatCode>
                  <v>39017</v>
                </pt>
                <pt idx="26">
                  <formatCode xml:space="preserve">_ * #,##0_ ;_ * \-#,##0_ ;_ * "-"??_ ;_ @_ </formatCode>
                  <v>37429</v>
                </pt>
                <pt idx="27">
                  <formatCode xml:space="preserve">_ * #,##0_ ;_ * \-#,##0_ ;_ * "-"??_ ;_ @_ </formatCode>
                  <v>37905.56</v>
                </pt>
              </numCache>
            </numRef>
          </val>
          <smooth val="0"/>
        </ser>
        <ser>
          <idx val="1"/>
          <order val="1"/>
          <tx>
            <v>Sponge Iron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Copy'!$E$1:$AF$1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'Monthly Copy'!$E$10:$AF$10</f>
              <numCache>
                <formatCode>General</formatCode>
                <ptCount val="28"/>
                <pt idx="0">
                  <v>29067.31</v>
                </pt>
                <pt idx="1">
                  <v>29253.7</v>
                </pt>
                <pt idx="2">
                  <v>26708</v>
                </pt>
                <pt idx="3">
                  <v>25572.22</v>
                </pt>
                <pt idx="4">
                  <v>24666</v>
                </pt>
                <pt idx="5">
                  <v>25510</v>
                </pt>
                <pt idx="6">
                  <v>27500</v>
                </pt>
                <pt idx="7">
                  <v>25552.08</v>
                </pt>
                <pt idx="8">
                  <v>24650</v>
                </pt>
                <pt idx="9">
                  <v>24477.78</v>
                </pt>
                <pt idx="10">
                  <v>24812.5</v>
                </pt>
                <pt idx="11">
                  <v>25587.5</v>
                </pt>
                <pt idx="12">
                  <formatCode xml:space="preserve">_ * #,##0_ ;_ * \-#,##0_ ;_ * "-"??_ ;_ @_ </formatCode>
                  <v>25759</v>
                </pt>
                <pt idx="13">
                  <formatCode xml:space="preserve">_ * #,##0_ ;_ * \-#,##0_ ;_ * "-"??_ ;_ @_ </formatCode>
                  <v>24151</v>
                </pt>
                <pt idx="14">
                  <formatCode xml:space="preserve">_ * #,##0_ ;_ * \-#,##0_ ;_ * "-"??_ ;_ @_ </formatCode>
                  <v>22862</v>
                </pt>
                <pt idx="15">
                  <formatCode xml:space="preserve">_ * #,##0_ ;_ * \-#,##0_ ;_ * "-"??_ ;_ @_ </formatCode>
                  <v>23664</v>
                </pt>
                <pt idx="16">
                  <formatCode xml:space="preserve">_ * #,##0_ ;_ * \-#,##0_ ;_ * "-"??_ ;_ @_ </formatCode>
                  <v>24093</v>
                </pt>
                <pt idx="17">
                  <formatCode xml:space="preserve">_ * #,##0_ ;_ * \-#,##0_ ;_ * "-"??_ ;_ @_ </formatCode>
                  <v>24082</v>
                </pt>
                <pt idx="18">
                  <formatCode xml:space="preserve">_ * #,##0_ ;_ * \-#,##0_ ;_ * "-"??_ ;_ @_ </formatCode>
                  <v>22905</v>
                </pt>
                <pt idx="19">
                  <formatCode xml:space="preserve">_ * #,##0_ ;_ * \-#,##0_ ;_ * "-"??_ ;_ @_ </formatCode>
                  <v>23412</v>
                </pt>
                <pt idx="20">
                  <formatCode xml:space="preserve">_ * #,##0_ ;_ * \-#,##0_ ;_ * "-"??_ ;_ @_ </formatCode>
                  <v>23261</v>
                </pt>
                <pt idx="21">
                  <formatCode xml:space="preserve">_ * #,##0_ ;_ * \-#,##0_ ;_ * "-"??_ ;_ @_ </formatCode>
                  <v>24683</v>
                </pt>
                <pt idx="22">
                  <formatCode xml:space="preserve">_ * #,##0_ ;_ * \-#,##0_ ;_ * "-"??_ ;_ @_ </formatCode>
                  <v>27081</v>
                </pt>
                <pt idx="23">
                  <formatCode xml:space="preserve">_ * #,##0_ ;_ * \-#,##0_ ;_ * "-"??_ ;_ @_ </formatCode>
                  <v>26725</v>
                </pt>
                <pt idx="24">
                  <formatCode xml:space="preserve">_ * #,##0_ ;_ * \-#,##0_ ;_ * "-"??_ ;_ @_ </formatCode>
                  <v>26420</v>
                </pt>
                <pt idx="25">
                  <formatCode xml:space="preserve">_ * #,##0_ ;_ * \-#,##0_ ;_ * "-"??_ ;_ @_ </formatCode>
                  <v>25358</v>
                </pt>
                <pt idx="26">
                  <formatCode xml:space="preserve">_ * #,##0_ ;_ * \-#,##0_ ;_ * "-"??_ ;_ @_ </formatCode>
                  <v>24183</v>
                </pt>
                <pt idx="27">
                  <formatCode xml:space="preserve">_ * #,##0_ ;_ * \-#,##0_ ;_ * "-"??_ ;_ @_ </formatCode>
                  <v>23422.22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91566464"/>
        <axId val="1159637008"/>
      </lineChart>
      <catAx>
        <axId val="10915664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9637008"/>
        <crosses val="autoZero"/>
        <auto val="1"/>
        <lblAlgn val="ctr"/>
        <lblOffset val="100"/>
        <noMultiLvlLbl val="0"/>
      </catAx>
      <valAx>
        <axId val="11596370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915664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Pig</a:t>
            </a:r>
            <a:r>
              <a:rPr lang="en-IN" baseline="0"/>
              <a:t xml:space="preserve"> Iron v/s TMT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Pig iron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Monthly!$E$2:$AF$2</f>
              <numCache>
                <formatCode>0</formatCode>
                <ptCount val="28"/>
                <pt idx="0">
                  <v>40032.69</v>
                </pt>
                <pt idx="1">
                  <v>42674.07</v>
                </pt>
                <pt idx="2">
                  <v>39478</v>
                </pt>
                <pt idx="3">
                  <v>38025.93</v>
                </pt>
                <pt idx="4">
                  <v>36812</v>
                </pt>
                <pt idx="5">
                  <v>36724</v>
                </pt>
                <pt idx="6">
                  <v>38275</v>
                </pt>
                <pt idx="7">
                  <v>34677.08</v>
                </pt>
                <pt idx="8">
                  <v>32498</v>
                </pt>
                <pt idx="9">
                  <v>32537.04</v>
                </pt>
                <pt idx="10">
                  <v>33358.33</v>
                </pt>
                <pt idx="11">
                  <v>35887.5</v>
                </pt>
                <pt idx="12">
                  <formatCode xml:space="preserve">_ * #,##0_ ;_ * \-#,##0_ ;_ * "-"??_ ;_ @_ </formatCode>
                  <v>35834.6</v>
                </pt>
                <pt idx="13">
                  <formatCode xml:space="preserve">_ * #,##0_ ;_ * \-#,##0_ ;_ * "-"??_ ;_ @_ </formatCode>
                  <v>33538</v>
                </pt>
                <pt idx="14">
                  <formatCode xml:space="preserve">_ * #,##0_ ;_ * \-#,##0_ ;_ * "-"??_ ;_ @_ </formatCode>
                  <v>32810</v>
                </pt>
                <pt idx="15">
                  <formatCode xml:space="preserve">_ * #,##0_ ;_ * \-#,##0_ ;_ * "-"??_ ;_ @_ </formatCode>
                  <v>32987</v>
                </pt>
                <pt idx="16">
                  <formatCode xml:space="preserve">_ * #,##0_ ;_ * \-#,##0_ ;_ * "-"??_ ;_ @_ </formatCode>
                  <v>33672</v>
                </pt>
                <pt idx="17">
                  <formatCode xml:space="preserve">_ * #,##0_ ;_ * \-#,##0_ ;_ * "-"??_ ;_ @_ </formatCode>
                  <v>33092</v>
                </pt>
                <pt idx="18">
                  <formatCode xml:space="preserve">_ * #,##0_ ;_ * \-#,##0_ ;_ * "-"??_ ;_ @_ </formatCode>
                  <v>32255</v>
                </pt>
                <pt idx="19">
                  <formatCode xml:space="preserve">_ * #,##0_ ;_ * \-#,##0_ ;_ * "-"??_ ;_ @_ </formatCode>
                  <v>32388</v>
                </pt>
                <pt idx="20">
                  <formatCode xml:space="preserve">_ * #,##0_ ;_ * \-#,##0_ ;_ * "-"??_ ;_ @_ </formatCode>
                  <v>33023</v>
                </pt>
                <pt idx="21">
                  <formatCode xml:space="preserve">_ * #,##0_ ;_ * \-#,##0_ ;_ * "-"??_ ;_ @_ </formatCode>
                  <v>37477</v>
                </pt>
                <pt idx="22">
                  <formatCode xml:space="preserve">_ * #,##0_ ;_ * \-#,##0_ ;_ * "-"??_ ;_ @_ </formatCode>
                  <v>38167</v>
                </pt>
                <pt idx="23">
                  <formatCode xml:space="preserve">_ * #,##0_ ;_ * \-#,##0_ ;_ * "-"??_ ;_ @_ </formatCode>
                  <v>37790</v>
                </pt>
                <pt idx="24">
                  <formatCode xml:space="preserve">_ * #,##0_ ;_ * \-#,##0_ ;_ * "-"??_ ;_ @_ </formatCode>
                  <v>39498</v>
                </pt>
                <pt idx="25">
                  <formatCode xml:space="preserve">_ * #,##0_ ;_ * \-#,##0_ ;_ * "-"??_ ;_ @_ </formatCode>
                  <v>39017</v>
                </pt>
                <pt idx="26">
                  <formatCode xml:space="preserve">_ * #,##0_ ;_ * \-#,##0_ ;_ * "-"??_ ;_ @_ </formatCode>
                  <v>37429</v>
                </pt>
                <pt idx="27">
                  <formatCode xml:space="preserve">_ * #,##0_ ;_ * \-#,##0_ ;_ * "-"??_ ;_ @_ </formatCode>
                  <v>38205.77</v>
                </pt>
              </numCache>
            </numRef>
          </val>
          <smooth val="0"/>
        </ser>
        <ser>
          <idx val="1"/>
          <order val="1"/>
          <tx>
            <v>TMT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Monthly!$E$12:$AF$12</f>
              <numCache>
                <formatCode>General</formatCode>
                <ptCount val="28"/>
                <pt idx="0">
                  <v>46315.38</v>
                </pt>
                <pt idx="1">
                  <v>47725.93</v>
                </pt>
                <pt idx="2">
                  <v>46328</v>
                </pt>
                <pt idx="3">
                  <v>42385.19</v>
                </pt>
                <pt idx="4">
                  <v>41492</v>
                </pt>
                <pt idx="5">
                  <v>41944</v>
                </pt>
                <pt idx="6">
                  <v>44304.17</v>
                </pt>
                <pt idx="7">
                  <v>42600</v>
                </pt>
                <pt idx="8">
                  <v>42020</v>
                </pt>
                <pt idx="9">
                  <v>41755.56</v>
                </pt>
                <pt idx="10">
                  <v>42587.5</v>
                </pt>
                <pt idx="11">
                  <v>44304.17</v>
                </pt>
                <pt idx="12">
                  <formatCode xml:space="preserve">_ * #,##0_ ;_ * \-#,##0_ ;_ * "-"??_ ;_ @_ </formatCode>
                  <v>45496</v>
                </pt>
                <pt idx="13">
                  <formatCode xml:space="preserve">_ * #,##0_ ;_ * \-#,##0_ ;_ * "-"??_ ;_ @_ </formatCode>
                  <v>43585</v>
                </pt>
                <pt idx="14">
                  <formatCode xml:space="preserve">_ * #,##0_ ;_ * \-#,##0_ ;_ * "-"??_ ;_ @_ </formatCode>
                  <v>41184</v>
                </pt>
                <pt idx="15">
                  <formatCode xml:space="preserve">_ * #,##0_ ;_ * \-#,##0_ ;_ * "-"??_ ;_ @_ </formatCode>
                  <v>39628</v>
                </pt>
                <pt idx="16">
                  <formatCode xml:space="preserve">_ * #,##0_ ;_ * \-#,##0_ ;_ * "-"??_ ;_ @_ </formatCode>
                  <v>39822</v>
                </pt>
                <pt idx="17">
                  <formatCode xml:space="preserve">_ * #,##0_ ;_ * \-#,##0_ ;_ * "-"??_ ;_ @_ </formatCode>
                  <v>39648</v>
                </pt>
                <pt idx="18">
                  <formatCode xml:space="preserve">_ * #,##0_ ;_ * \-#,##0_ ;_ * "-"??_ ;_ @_ </formatCode>
                  <v>38095</v>
                </pt>
                <pt idx="19">
                  <formatCode xml:space="preserve">_ * #,##0_ ;_ * \-#,##0_ ;_ * "-"??_ ;_ @_ </formatCode>
                  <v>38248</v>
                </pt>
                <pt idx="20">
                  <formatCode xml:space="preserve">_ * #,##0_ ;_ * \-#,##0_ ;_ * "-"??_ ;_ @_ </formatCode>
                  <v>40015</v>
                </pt>
                <pt idx="21">
                  <formatCode xml:space="preserve">_ * #,##0_ ;_ * \-#,##0_ ;_ * "-"??_ ;_ @_ </formatCode>
                  <v>43804</v>
                </pt>
                <pt idx="22">
                  <formatCode xml:space="preserve">_ * #,##0_ ;_ * \-#,##0_ ;_ * "-"??_ ;_ @_ </formatCode>
                  <v>44772</v>
                </pt>
                <pt idx="23">
                  <formatCode xml:space="preserve">_ * #,##0_ ;_ * \-#,##0_ ;_ * "-"??_ ;_ @_ </formatCode>
                  <v>46075</v>
                </pt>
                <pt idx="24">
                  <formatCode xml:space="preserve">_ * #,##0_ ;_ * \-#,##0_ ;_ * "-"??_ ;_ @_ </formatCode>
                  <v>47060</v>
                </pt>
                <pt idx="25">
                  <formatCode xml:space="preserve">_ * #,##0_ ;_ * \-#,##0_ ;_ * "-"??_ ;_ @_ </formatCode>
                  <v>43565</v>
                </pt>
                <pt idx="26">
                  <formatCode xml:space="preserve">_ * #,##0_ ;_ * \-#,##0_ ;_ * "-"??_ ;_ @_ </formatCode>
                  <v>41646</v>
                </pt>
                <pt idx="27">
                  <formatCode xml:space="preserve">_ * #,##0_ ;_ * \-#,##0_ ;_ * "-"??_ ;_ @_ </formatCode>
                  <v>40100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78091296"/>
        <axId val="1159590448"/>
      </lineChart>
      <catAx>
        <axId val="15780912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9590448"/>
        <crosses val="autoZero"/>
        <auto val="1"/>
        <lblAlgn val="ctr"/>
        <lblOffset val="100"/>
        <noMultiLvlLbl val="0"/>
      </catAx>
      <valAx>
        <axId val="11595904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7809129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Pig</a:t>
            </a:r>
            <a:r>
              <a:rPr lang="en-IN" baseline="0"/>
              <a:t xml:space="preserve"> Iron v/s Billets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Pig Iron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Monthly!$E$2:$AF$2</f>
              <numCache>
                <formatCode>0</formatCode>
                <ptCount val="28"/>
                <pt idx="0">
                  <v>40032.69</v>
                </pt>
                <pt idx="1">
                  <v>42674.07</v>
                </pt>
                <pt idx="2">
                  <v>39478</v>
                </pt>
                <pt idx="3">
                  <v>38025.93</v>
                </pt>
                <pt idx="4">
                  <v>36812</v>
                </pt>
                <pt idx="5">
                  <v>36724</v>
                </pt>
                <pt idx="6">
                  <v>38275</v>
                </pt>
                <pt idx="7">
                  <v>34677.08</v>
                </pt>
                <pt idx="8">
                  <v>32498</v>
                </pt>
                <pt idx="9">
                  <v>32537.04</v>
                </pt>
                <pt idx="10">
                  <v>33358.33</v>
                </pt>
                <pt idx="11">
                  <v>35887.5</v>
                </pt>
                <pt idx="12">
                  <formatCode xml:space="preserve">_ * #,##0_ ;_ * \-#,##0_ ;_ * "-"??_ ;_ @_ </formatCode>
                  <v>35834.6</v>
                </pt>
                <pt idx="13">
                  <formatCode xml:space="preserve">_ * #,##0_ ;_ * \-#,##0_ ;_ * "-"??_ ;_ @_ </formatCode>
                  <v>33538</v>
                </pt>
                <pt idx="14">
                  <formatCode xml:space="preserve">_ * #,##0_ ;_ * \-#,##0_ ;_ * "-"??_ ;_ @_ </formatCode>
                  <v>32810</v>
                </pt>
                <pt idx="15">
                  <formatCode xml:space="preserve">_ * #,##0_ ;_ * \-#,##0_ ;_ * "-"??_ ;_ @_ </formatCode>
                  <v>32987</v>
                </pt>
                <pt idx="16">
                  <formatCode xml:space="preserve">_ * #,##0_ ;_ * \-#,##0_ ;_ * "-"??_ ;_ @_ </formatCode>
                  <v>33672</v>
                </pt>
                <pt idx="17">
                  <formatCode xml:space="preserve">_ * #,##0_ ;_ * \-#,##0_ ;_ * "-"??_ ;_ @_ </formatCode>
                  <v>33092</v>
                </pt>
                <pt idx="18">
                  <formatCode xml:space="preserve">_ * #,##0_ ;_ * \-#,##0_ ;_ * "-"??_ ;_ @_ </formatCode>
                  <v>32255</v>
                </pt>
                <pt idx="19">
                  <formatCode xml:space="preserve">_ * #,##0_ ;_ * \-#,##0_ ;_ * "-"??_ ;_ @_ </formatCode>
                  <v>32388</v>
                </pt>
                <pt idx="20">
                  <formatCode xml:space="preserve">_ * #,##0_ ;_ * \-#,##0_ ;_ * "-"??_ ;_ @_ </formatCode>
                  <v>33023</v>
                </pt>
                <pt idx="21">
                  <formatCode xml:space="preserve">_ * #,##0_ ;_ * \-#,##0_ ;_ * "-"??_ ;_ @_ </formatCode>
                  <v>37477</v>
                </pt>
                <pt idx="22">
                  <formatCode xml:space="preserve">_ * #,##0_ ;_ * \-#,##0_ ;_ * "-"??_ ;_ @_ </formatCode>
                  <v>38167</v>
                </pt>
                <pt idx="23">
                  <formatCode xml:space="preserve">_ * #,##0_ ;_ * \-#,##0_ ;_ * "-"??_ ;_ @_ </formatCode>
                  <v>37790</v>
                </pt>
                <pt idx="24">
                  <formatCode xml:space="preserve">_ * #,##0_ ;_ * \-#,##0_ ;_ * "-"??_ ;_ @_ </formatCode>
                  <v>39498</v>
                </pt>
                <pt idx="25">
                  <formatCode xml:space="preserve">_ * #,##0_ ;_ * \-#,##0_ ;_ * "-"??_ ;_ @_ </formatCode>
                  <v>39017</v>
                </pt>
                <pt idx="26">
                  <formatCode xml:space="preserve">_ * #,##0_ ;_ * \-#,##0_ ;_ * "-"??_ ;_ @_ </formatCode>
                  <v>37429</v>
                </pt>
                <pt idx="27">
                  <formatCode xml:space="preserve">_ * #,##0_ ;_ * \-#,##0_ ;_ * "-"??_ ;_ @_ </formatCode>
                  <v>38205.77</v>
                </pt>
              </numCache>
            </numRef>
          </val>
          <smooth val="0"/>
        </ser>
        <ser>
          <idx val="1"/>
          <order val="1"/>
          <tx>
            <v>Billets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Monthly!$E$14:$AF$14</f>
              <numCache>
                <formatCode>General</formatCode>
                <ptCount val="28"/>
                <pt idx="0">
                  <v>42857.69</v>
                </pt>
                <pt idx="1">
                  <v>44537.04</v>
                </pt>
                <pt idx="2">
                  <v>42546</v>
                </pt>
                <pt idx="3">
                  <v>39368.52</v>
                </pt>
                <pt idx="4">
                  <v>38504</v>
                </pt>
                <pt idx="5">
                  <v>38342</v>
                </pt>
                <pt idx="6">
                  <v>40679.17</v>
                </pt>
                <pt idx="7">
                  <v>39197.92</v>
                </pt>
                <pt idx="8">
                  <v>38932</v>
                </pt>
                <pt idx="9">
                  <v>39070.37</v>
                </pt>
                <pt idx="10">
                  <v>39335.42</v>
                </pt>
                <pt idx="11">
                  <v>40662.5</v>
                </pt>
                <pt idx="12">
                  <formatCode xml:space="preserve">_ * #,##0_ ;_ * \-#,##0_ ;_ * "-"??_ ;_ @_ </formatCode>
                  <v>41371</v>
                </pt>
                <pt idx="13">
                  <formatCode xml:space="preserve">_ * #,##0_ ;_ * \-#,##0_ ;_ * "-"??_ ;_ @_ </formatCode>
                  <v>39868</v>
                </pt>
                <pt idx="14">
                  <formatCode xml:space="preserve">_ * #,##0_ ;_ * \-#,##0_ ;_ * "-"??_ ;_ @_ </formatCode>
                  <v>37878</v>
                </pt>
                <pt idx="15">
                  <formatCode xml:space="preserve">_ * #,##0_ ;_ * \-#,##0_ ;_ * "-"??_ ;_ @_ </formatCode>
                  <v>36974</v>
                </pt>
                <pt idx="16">
                  <formatCode xml:space="preserve">_ * #,##0_ ;_ * \-#,##0_ ;_ * "-"??_ ;_ @_ </formatCode>
                  <v>37430</v>
                </pt>
                <pt idx="17">
                  <formatCode xml:space="preserve">_ * #,##0_ ;_ * \-#,##0_ ;_ * "-"??_ ;_ @_ </formatCode>
                  <v>36787</v>
                </pt>
                <pt idx="18">
                  <formatCode xml:space="preserve">_ * #,##0_ ;_ * \-#,##0_ ;_ * "-"??_ ;_ @_ </formatCode>
                  <v>35152</v>
                </pt>
                <pt idx="19">
                  <formatCode xml:space="preserve">_ * #,##0_ ;_ * \-#,##0_ ;_ * "-"??_ ;_ @_ </formatCode>
                  <v>35554</v>
                </pt>
                <pt idx="20">
                  <formatCode xml:space="preserve">_ * #,##0_ ;_ * \-#,##0_ ;_ * "-"??_ ;_ @_ </formatCode>
                  <v>37175</v>
                </pt>
                <pt idx="21">
                  <formatCode xml:space="preserve">_ * #,##0_ ;_ * \-#,##0_ ;_ * "-"??_ ;_ @_ </formatCode>
                  <v>40504</v>
                </pt>
                <pt idx="22">
                  <formatCode xml:space="preserve">_ * #,##0_ ;_ * \-#,##0_ ;_ * "-"??_ ;_ @_ </formatCode>
                  <v>41236</v>
                </pt>
                <pt idx="23">
                  <formatCode xml:space="preserve">_ * #,##0_ ;_ * \-#,##0_ ;_ * "-"??_ ;_ @_ </formatCode>
                  <v>41600</v>
                </pt>
                <pt idx="24">
                  <formatCode xml:space="preserve">_ * #,##0_ ;_ * \-#,##0_ ;_ * "-"??_ ;_ @_ </formatCode>
                  <v>42474</v>
                </pt>
                <pt idx="25">
                  <formatCode xml:space="preserve">_ * #,##0_ ;_ * \-#,##0_ ;_ * "-"??_ ;_ @_ </formatCode>
                  <v>40148</v>
                </pt>
                <pt idx="26">
                  <formatCode xml:space="preserve">_ * #,##0_ ;_ * \-#,##0_ ;_ * "-"??_ ;_ @_ </formatCode>
                  <v>38819</v>
                </pt>
                <pt idx="27">
                  <formatCode xml:space="preserve">_ * #,##0_ ;_ * \-#,##0_ ;_ * "-"??_ ;_ @_ </formatCode>
                  <v>38164.81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66199151"/>
        <axId val="1159588528"/>
      </lineChart>
      <catAx>
        <axId val="266199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9588528"/>
        <crosses val="autoZero"/>
        <auto val="1"/>
        <lblAlgn val="ctr"/>
        <lblOffset val="100"/>
        <noMultiLvlLbl val="0"/>
      </catAx>
      <valAx>
        <axId val="11595885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661991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Sponge</a:t>
            </a:r>
            <a:r>
              <a:rPr lang="en-IN" baseline="0"/>
              <a:t xml:space="preserve"> Iron v/s TMT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Sponge Iron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Monthly!$E$10:$AF$10</f>
              <numCache>
                <formatCode>General</formatCode>
                <ptCount val="28"/>
                <pt idx="0">
                  <v>29067.31</v>
                </pt>
                <pt idx="1">
                  <v>29253.7</v>
                </pt>
                <pt idx="2">
                  <v>26708</v>
                </pt>
                <pt idx="3">
                  <v>25572.22</v>
                </pt>
                <pt idx="4">
                  <v>24666</v>
                </pt>
                <pt idx="5">
                  <v>25510</v>
                </pt>
                <pt idx="6">
                  <v>27500</v>
                </pt>
                <pt idx="7">
                  <v>25552.08</v>
                </pt>
                <pt idx="8">
                  <v>24650</v>
                </pt>
                <pt idx="9">
                  <v>24477.78</v>
                </pt>
                <pt idx="10">
                  <v>24812.5</v>
                </pt>
                <pt idx="11">
                  <v>25587.5</v>
                </pt>
                <pt idx="12">
                  <formatCode xml:space="preserve">_ * #,##0_ ;_ * \-#,##0_ ;_ * "-"??_ ;_ @_ </formatCode>
                  <v>25759</v>
                </pt>
                <pt idx="13">
                  <formatCode xml:space="preserve">_ * #,##0_ ;_ * \-#,##0_ ;_ * "-"??_ ;_ @_ </formatCode>
                  <v>24151</v>
                </pt>
                <pt idx="14">
                  <formatCode xml:space="preserve">_ * #,##0_ ;_ * \-#,##0_ ;_ * "-"??_ ;_ @_ </formatCode>
                  <v>22862</v>
                </pt>
                <pt idx="15">
                  <formatCode xml:space="preserve">_ * #,##0_ ;_ * \-#,##0_ ;_ * "-"??_ ;_ @_ </formatCode>
                  <v>23664</v>
                </pt>
                <pt idx="16">
                  <formatCode xml:space="preserve">_ * #,##0_ ;_ * \-#,##0_ ;_ * "-"??_ ;_ @_ </formatCode>
                  <v>24093</v>
                </pt>
                <pt idx="17">
                  <formatCode xml:space="preserve">_ * #,##0_ ;_ * \-#,##0_ ;_ * "-"??_ ;_ @_ </formatCode>
                  <v>24082</v>
                </pt>
                <pt idx="18">
                  <formatCode xml:space="preserve">_ * #,##0_ ;_ * \-#,##0_ ;_ * "-"??_ ;_ @_ </formatCode>
                  <v>22905</v>
                </pt>
                <pt idx="19">
                  <formatCode xml:space="preserve">_ * #,##0_ ;_ * \-#,##0_ ;_ * "-"??_ ;_ @_ </formatCode>
                  <v>23412</v>
                </pt>
                <pt idx="20">
                  <formatCode xml:space="preserve">_ * #,##0_ ;_ * \-#,##0_ ;_ * "-"??_ ;_ @_ </formatCode>
                  <v>23261</v>
                </pt>
                <pt idx="21">
                  <formatCode xml:space="preserve">_ * #,##0_ ;_ * \-#,##0_ ;_ * "-"??_ ;_ @_ </formatCode>
                  <v>24683</v>
                </pt>
                <pt idx="22">
                  <formatCode xml:space="preserve">_ * #,##0_ ;_ * \-#,##0_ ;_ * "-"??_ ;_ @_ </formatCode>
                  <v>27081</v>
                </pt>
                <pt idx="23">
                  <formatCode xml:space="preserve">_ * #,##0_ ;_ * \-#,##0_ ;_ * "-"??_ ;_ @_ </formatCode>
                  <v>26725</v>
                </pt>
                <pt idx="24">
                  <formatCode xml:space="preserve">_ * #,##0_ ;_ * \-#,##0_ ;_ * "-"??_ ;_ @_ </formatCode>
                  <v>26420</v>
                </pt>
                <pt idx="25">
                  <formatCode xml:space="preserve">_ * #,##0_ ;_ * \-#,##0_ ;_ * "-"??_ ;_ @_ </formatCode>
                  <v>25358</v>
                </pt>
                <pt idx="26">
                  <formatCode xml:space="preserve">_ * #,##0_ ;_ * \-#,##0_ ;_ * "-"??_ ;_ @_ </formatCode>
                  <v>24183</v>
                </pt>
                <pt idx="27">
                  <formatCode xml:space="preserve">_ * #,##0_ ;_ * \-#,##0_ ;_ * "-"??_ ;_ @_ </formatCode>
                  <v>23915.38</v>
                </pt>
              </numCache>
            </numRef>
          </val>
          <smooth val="0"/>
        </ser>
        <ser>
          <idx val="1"/>
          <order val="1"/>
          <tx>
            <v>TMT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Monthly!$E$12:$AF$12</f>
              <numCache>
                <formatCode>General</formatCode>
                <ptCount val="28"/>
                <pt idx="0">
                  <v>46315.38</v>
                </pt>
                <pt idx="1">
                  <v>47725.93</v>
                </pt>
                <pt idx="2">
                  <v>46328</v>
                </pt>
                <pt idx="3">
                  <v>42385.19</v>
                </pt>
                <pt idx="4">
                  <v>41492</v>
                </pt>
                <pt idx="5">
                  <v>41944</v>
                </pt>
                <pt idx="6">
                  <v>44304.17</v>
                </pt>
                <pt idx="7">
                  <v>42600</v>
                </pt>
                <pt idx="8">
                  <v>42020</v>
                </pt>
                <pt idx="9">
                  <v>41755.56</v>
                </pt>
                <pt idx="10">
                  <v>42587.5</v>
                </pt>
                <pt idx="11">
                  <v>44304.17</v>
                </pt>
                <pt idx="12">
                  <formatCode xml:space="preserve">_ * #,##0_ ;_ * \-#,##0_ ;_ * "-"??_ ;_ @_ </formatCode>
                  <v>45496</v>
                </pt>
                <pt idx="13">
                  <formatCode xml:space="preserve">_ * #,##0_ ;_ * \-#,##0_ ;_ * "-"??_ ;_ @_ </formatCode>
                  <v>43585</v>
                </pt>
                <pt idx="14">
                  <formatCode xml:space="preserve">_ * #,##0_ ;_ * \-#,##0_ ;_ * "-"??_ ;_ @_ </formatCode>
                  <v>41184</v>
                </pt>
                <pt idx="15">
                  <formatCode xml:space="preserve">_ * #,##0_ ;_ * \-#,##0_ ;_ * "-"??_ ;_ @_ </formatCode>
                  <v>39628</v>
                </pt>
                <pt idx="16">
                  <formatCode xml:space="preserve">_ * #,##0_ ;_ * \-#,##0_ ;_ * "-"??_ ;_ @_ </formatCode>
                  <v>39822</v>
                </pt>
                <pt idx="17">
                  <formatCode xml:space="preserve">_ * #,##0_ ;_ * \-#,##0_ ;_ * "-"??_ ;_ @_ </formatCode>
                  <v>39648</v>
                </pt>
                <pt idx="18">
                  <formatCode xml:space="preserve">_ * #,##0_ ;_ * \-#,##0_ ;_ * "-"??_ ;_ @_ </formatCode>
                  <v>38095</v>
                </pt>
                <pt idx="19">
                  <formatCode xml:space="preserve">_ * #,##0_ ;_ * \-#,##0_ ;_ * "-"??_ ;_ @_ </formatCode>
                  <v>38248</v>
                </pt>
                <pt idx="20">
                  <formatCode xml:space="preserve">_ * #,##0_ ;_ * \-#,##0_ ;_ * "-"??_ ;_ @_ </formatCode>
                  <v>40015</v>
                </pt>
                <pt idx="21">
                  <formatCode xml:space="preserve">_ * #,##0_ ;_ * \-#,##0_ ;_ * "-"??_ ;_ @_ </formatCode>
                  <v>43804</v>
                </pt>
                <pt idx="22">
                  <formatCode xml:space="preserve">_ * #,##0_ ;_ * \-#,##0_ ;_ * "-"??_ ;_ @_ </formatCode>
                  <v>44772</v>
                </pt>
                <pt idx="23">
                  <formatCode xml:space="preserve">_ * #,##0_ ;_ * \-#,##0_ ;_ * "-"??_ ;_ @_ </formatCode>
                  <v>46075</v>
                </pt>
                <pt idx="24">
                  <formatCode xml:space="preserve">_ * #,##0_ ;_ * \-#,##0_ ;_ * "-"??_ ;_ @_ </formatCode>
                  <v>47060</v>
                </pt>
                <pt idx="25">
                  <formatCode xml:space="preserve">_ * #,##0_ ;_ * \-#,##0_ ;_ * "-"??_ ;_ @_ </formatCode>
                  <v>43565</v>
                </pt>
                <pt idx="26">
                  <formatCode xml:space="preserve">_ * #,##0_ ;_ * \-#,##0_ ;_ * "-"??_ ;_ @_ </formatCode>
                  <v>41646</v>
                </pt>
                <pt idx="27">
                  <formatCode xml:space="preserve">_ * #,##0_ ;_ * \-#,##0_ ;_ * "-"??_ ;_ @_ </formatCode>
                  <v>40100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03593584"/>
        <axId val="843814192"/>
      </lineChart>
      <catAx>
        <axId val="1103593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43814192"/>
        <crosses val="autoZero"/>
        <auto val="1"/>
        <lblAlgn val="ctr"/>
        <lblOffset val="100"/>
        <noMultiLvlLbl val="0"/>
      </catAx>
      <valAx>
        <axId val="843814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35935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Sponge</a:t>
            </a:r>
            <a:r>
              <a:rPr lang="en-IN" baseline="0"/>
              <a:t xml:space="preserve"> Iron v/s Billets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Monthly!$E$10:$AF$10</f>
              <numCache>
                <formatCode>General</formatCode>
                <ptCount val="28"/>
                <pt idx="0">
                  <v>29067.31</v>
                </pt>
                <pt idx="1">
                  <v>29253.7</v>
                </pt>
                <pt idx="2">
                  <v>26708</v>
                </pt>
                <pt idx="3">
                  <v>25572.22</v>
                </pt>
                <pt idx="4">
                  <v>24666</v>
                </pt>
                <pt idx="5">
                  <v>25510</v>
                </pt>
                <pt idx="6">
                  <v>27500</v>
                </pt>
                <pt idx="7">
                  <v>25552.08</v>
                </pt>
                <pt idx="8">
                  <v>24650</v>
                </pt>
                <pt idx="9">
                  <v>24477.78</v>
                </pt>
                <pt idx="10">
                  <v>24812.5</v>
                </pt>
                <pt idx="11">
                  <v>25587.5</v>
                </pt>
                <pt idx="12">
                  <formatCode xml:space="preserve">_ * #,##0_ ;_ * \-#,##0_ ;_ * "-"??_ ;_ @_ </formatCode>
                  <v>25759</v>
                </pt>
                <pt idx="13">
                  <formatCode xml:space="preserve">_ * #,##0_ ;_ * \-#,##0_ ;_ * "-"??_ ;_ @_ </formatCode>
                  <v>24151</v>
                </pt>
                <pt idx="14">
                  <formatCode xml:space="preserve">_ * #,##0_ ;_ * \-#,##0_ ;_ * "-"??_ ;_ @_ </formatCode>
                  <v>22862</v>
                </pt>
                <pt idx="15">
                  <formatCode xml:space="preserve">_ * #,##0_ ;_ * \-#,##0_ ;_ * "-"??_ ;_ @_ </formatCode>
                  <v>23664</v>
                </pt>
                <pt idx="16">
                  <formatCode xml:space="preserve">_ * #,##0_ ;_ * \-#,##0_ ;_ * "-"??_ ;_ @_ </formatCode>
                  <v>24093</v>
                </pt>
                <pt idx="17">
                  <formatCode xml:space="preserve">_ * #,##0_ ;_ * \-#,##0_ ;_ * "-"??_ ;_ @_ </formatCode>
                  <v>24082</v>
                </pt>
                <pt idx="18">
                  <formatCode xml:space="preserve">_ * #,##0_ ;_ * \-#,##0_ ;_ * "-"??_ ;_ @_ </formatCode>
                  <v>22905</v>
                </pt>
                <pt idx="19">
                  <formatCode xml:space="preserve">_ * #,##0_ ;_ * \-#,##0_ ;_ * "-"??_ ;_ @_ </formatCode>
                  <v>23412</v>
                </pt>
                <pt idx="20">
                  <formatCode xml:space="preserve">_ * #,##0_ ;_ * \-#,##0_ ;_ * "-"??_ ;_ @_ </formatCode>
                  <v>23261</v>
                </pt>
                <pt idx="21">
                  <formatCode xml:space="preserve">_ * #,##0_ ;_ * \-#,##0_ ;_ * "-"??_ ;_ @_ </formatCode>
                  <v>24683</v>
                </pt>
                <pt idx="22">
                  <formatCode xml:space="preserve">_ * #,##0_ ;_ * \-#,##0_ ;_ * "-"??_ ;_ @_ </formatCode>
                  <v>27081</v>
                </pt>
                <pt idx="23">
                  <formatCode xml:space="preserve">_ * #,##0_ ;_ * \-#,##0_ ;_ * "-"??_ ;_ @_ </formatCode>
                  <v>26725</v>
                </pt>
                <pt idx="24">
                  <formatCode xml:space="preserve">_ * #,##0_ ;_ * \-#,##0_ ;_ * "-"??_ ;_ @_ </formatCode>
                  <v>26420</v>
                </pt>
                <pt idx="25">
                  <formatCode xml:space="preserve">_ * #,##0_ ;_ * \-#,##0_ ;_ * "-"??_ ;_ @_ </formatCode>
                  <v>25358</v>
                </pt>
                <pt idx="26">
                  <formatCode xml:space="preserve">_ * #,##0_ ;_ * \-#,##0_ ;_ * "-"??_ ;_ @_ </formatCode>
                  <v>24183</v>
                </pt>
                <pt idx="27">
                  <formatCode xml:space="preserve">_ * #,##0_ ;_ * \-#,##0_ ;_ * "-"??_ ;_ @_ </formatCode>
                  <v>23915.38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Monthly!$E$14:$AF$14</f>
              <numCache>
                <formatCode>General</formatCode>
                <ptCount val="28"/>
                <pt idx="0">
                  <v>42857.69</v>
                </pt>
                <pt idx="1">
                  <v>44537.04</v>
                </pt>
                <pt idx="2">
                  <v>42546</v>
                </pt>
                <pt idx="3">
                  <v>39368.52</v>
                </pt>
                <pt idx="4">
                  <v>38504</v>
                </pt>
                <pt idx="5">
                  <v>38342</v>
                </pt>
                <pt idx="6">
                  <v>40679.17</v>
                </pt>
                <pt idx="7">
                  <v>39197.92</v>
                </pt>
                <pt idx="8">
                  <v>38932</v>
                </pt>
                <pt idx="9">
                  <v>39070.37</v>
                </pt>
                <pt idx="10">
                  <v>39335.42</v>
                </pt>
                <pt idx="11">
                  <v>40662.5</v>
                </pt>
                <pt idx="12">
                  <formatCode xml:space="preserve">_ * #,##0_ ;_ * \-#,##0_ ;_ * "-"??_ ;_ @_ </formatCode>
                  <v>41371</v>
                </pt>
                <pt idx="13">
                  <formatCode xml:space="preserve">_ * #,##0_ ;_ * \-#,##0_ ;_ * "-"??_ ;_ @_ </formatCode>
                  <v>39868</v>
                </pt>
                <pt idx="14">
                  <formatCode xml:space="preserve">_ * #,##0_ ;_ * \-#,##0_ ;_ * "-"??_ ;_ @_ </formatCode>
                  <v>37878</v>
                </pt>
                <pt idx="15">
                  <formatCode xml:space="preserve">_ * #,##0_ ;_ * \-#,##0_ ;_ * "-"??_ ;_ @_ </formatCode>
                  <v>36974</v>
                </pt>
                <pt idx="16">
                  <formatCode xml:space="preserve">_ * #,##0_ ;_ * \-#,##0_ ;_ * "-"??_ ;_ @_ </formatCode>
                  <v>37430</v>
                </pt>
                <pt idx="17">
                  <formatCode xml:space="preserve">_ * #,##0_ ;_ * \-#,##0_ ;_ * "-"??_ ;_ @_ </formatCode>
                  <v>36787</v>
                </pt>
                <pt idx="18">
                  <formatCode xml:space="preserve">_ * #,##0_ ;_ * \-#,##0_ ;_ * "-"??_ ;_ @_ </formatCode>
                  <v>35152</v>
                </pt>
                <pt idx="19">
                  <formatCode xml:space="preserve">_ * #,##0_ ;_ * \-#,##0_ ;_ * "-"??_ ;_ @_ </formatCode>
                  <v>35554</v>
                </pt>
                <pt idx="20">
                  <formatCode xml:space="preserve">_ * #,##0_ ;_ * \-#,##0_ ;_ * "-"??_ ;_ @_ </formatCode>
                  <v>37175</v>
                </pt>
                <pt idx="21">
                  <formatCode xml:space="preserve">_ * #,##0_ ;_ * \-#,##0_ ;_ * "-"??_ ;_ @_ </formatCode>
                  <v>40504</v>
                </pt>
                <pt idx="22">
                  <formatCode xml:space="preserve">_ * #,##0_ ;_ * \-#,##0_ ;_ * "-"??_ ;_ @_ </formatCode>
                  <v>41236</v>
                </pt>
                <pt idx="23">
                  <formatCode xml:space="preserve">_ * #,##0_ ;_ * \-#,##0_ ;_ * "-"??_ ;_ @_ </formatCode>
                  <v>41600</v>
                </pt>
                <pt idx="24">
                  <formatCode xml:space="preserve">_ * #,##0_ ;_ * \-#,##0_ ;_ * "-"??_ ;_ @_ </formatCode>
                  <v>42474</v>
                </pt>
                <pt idx="25">
                  <formatCode xml:space="preserve">_ * #,##0_ ;_ * \-#,##0_ ;_ * "-"??_ ;_ @_ </formatCode>
                  <v>40148</v>
                </pt>
                <pt idx="26">
                  <formatCode xml:space="preserve">_ * #,##0_ ;_ * \-#,##0_ ;_ * "-"??_ ;_ @_ </formatCode>
                  <v>38819</v>
                </pt>
                <pt idx="27">
                  <formatCode xml:space="preserve">_ * #,##0_ ;_ * \-#,##0_ ;_ * "-"??_ ;_ @_ </formatCode>
                  <v>38164.81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03844176"/>
        <axId val="843853552"/>
      </lineChart>
      <catAx>
        <axId val="15038441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43853552"/>
        <crosses val="autoZero"/>
        <auto val="1"/>
        <lblAlgn val="ctr"/>
        <lblOffset val="100"/>
        <noMultiLvlLbl val="0"/>
      </catAx>
      <valAx>
        <axId val="8438535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0384417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TMT</a:t>
            </a:r>
            <a:r>
              <a:rPr lang="en-IN" baseline="0"/>
              <a:t xml:space="preserve"> v/s Billets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TMT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Monthly!$E$12:$AF$12</f>
              <numCache>
                <formatCode>General</formatCode>
                <ptCount val="28"/>
                <pt idx="0">
                  <v>46315.38</v>
                </pt>
                <pt idx="1">
                  <v>47725.93</v>
                </pt>
                <pt idx="2">
                  <v>46328</v>
                </pt>
                <pt idx="3">
                  <v>42385.19</v>
                </pt>
                <pt idx="4">
                  <v>41492</v>
                </pt>
                <pt idx="5">
                  <v>41944</v>
                </pt>
                <pt idx="6">
                  <v>44304.17</v>
                </pt>
                <pt idx="7">
                  <v>42600</v>
                </pt>
                <pt idx="8">
                  <v>42020</v>
                </pt>
                <pt idx="9">
                  <v>41755.56</v>
                </pt>
                <pt idx="10">
                  <v>42587.5</v>
                </pt>
                <pt idx="11">
                  <v>44304.17</v>
                </pt>
                <pt idx="12">
                  <formatCode xml:space="preserve">_ * #,##0_ ;_ * \-#,##0_ ;_ * "-"??_ ;_ @_ </formatCode>
                  <v>45496</v>
                </pt>
                <pt idx="13">
                  <formatCode xml:space="preserve">_ * #,##0_ ;_ * \-#,##0_ ;_ * "-"??_ ;_ @_ </formatCode>
                  <v>43585</v>
                </pt>
                <pt idx="14">
                  <formatCode xml:space="preserve">_ * #,##0_ ;_ * \-#,##0_ ;_ * "-"??_ ;_ @_ </formatCode>
                  <v>41184</v>
                </pt>
                <pt idx="15">
                  <formatCode xml:space="preserve">_ * #,##0_ ;_ * \-#,##0_ ;_ * "-"??_ ;_ @_ </formatCode>
                  <v>39628</v>
                </pt>
                <pt idx="16">
                  <formatCode xml:space="preserve">_ * #,##0_ ;_ * \-#,##0_ ;_ * "-"??_ ;_ @_ </formatCode>
                  <v>39822</v>
                </pt>
                <pt idx="17">
                  <formatCode xml:space="preserve">_ * #,##0_ ;_ * \-#,##0_ ;_ * "-"??_ ;_ @_ </formatCode>
                  <v>39648</v>
                </pt>
                <pt idx="18">
                  <formatCode xml:space="preserve">_ * #,##0_ ;_ * \-#,##0_ ;_ * "-"??_ ;_ @_ </formatCode>
                  <v>38095</v>
                </pt>
                <pt idx="19">
                  <formatCode xml:space="preserve">_ * #,##0_ ;_ * \-#,##0_ ;_ * "-"??_ ;_ @_ </formatCode>
                  <v>38248</v>
                </pt>
                <pt idx="20">
                  <formatCode xml:space="preserve">_ * #,##0_ ;_ * \-#,##0_ ;_ * "-"??_ ;_ @_ </formatCode>
                  <v>40015</v>
                </pt>
                <pt idx="21">
                  <formatCode xml:space="preserve">_ * #,##0_ ;_ * \-#,##0_ ;_ * "-"??_ ;_ @_ </formatCode>
                  <v>43804</v>
                </pt>
                <pt idx="22">
                  <formatCode xml:space="preserve">_ * #,##0_ ;_ * \-#,##0_ ;_ * "-"??_ ;_ @_ </formatCode>
                  <v>44772</v>
                </pt>
                <pt idx="23">
                  <formatCode xml:space="preserve">_ * #,##0_ ;_ * \-#,##0_ ;_ * "-"??_ ;_ @_ </formatCode>
                  <v>46075</v>
                </pt>
                <pt idx="24">
                  <formatCode xml:space="preserve">_ * #,##0_ ;_ * \-#,##0_ ;_ * "-"??_ ;_ @_ </formatCode>
                  <v>47060</v>
                </pt>
                <pt idx="25">
                  <formatCode xml:space="preserve">_ * #,##0_ ;_ * \-#,##0_ ;_ * "-"??_ ;_ @_ </formatCode>
                  <v>43565</v>
                </pt>
                <pt idx="26">
                  <formatCode xml:space="preserve">_ * #,##0_ ;_ * \-#,##0_ ;_ * "-"??_ ;_ @_ </formatCode>
                  <v>41646</v>
                </pt>
                <pt idx="27">
                  <formatCode xml:space="preserve">_ * #,##0_ ;_ * \-#,##0_ ;_ * "-"??_ ;_ @_ </formatCode>
                  <v>40100</v>
                </pt>
              </numCache>
            </numRef>
          </val>
          <smooth val="0"/>
        </ser>
        <ser>
          <idx val="1"/>
          <order val="1"/>
          <tx>
            <v>Billet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Monthly!$E$1:$AF$1</f>
              <strCache>
                <ptCount val="28"/>
                <pt idx="0">
                  <v>April'24</v>
                </pt>
                <pt idx="1">
                  <v>May'24</v>
                </pt>
                <pt idx="2">
                  <v>June'24</v>
                </pt>
                <pt idx="3">
                  <v>July'24</v>
                </pt>
                <pt idx="4">
                  <v>Aug'24</v>
                </pt>
                <pt idx="5">
                  <v>Sept'24</v>
                </pt>
                <pt idx="6">
                  <v>Oct'24</v>
                </pt>
                <pt idx="7">
                  <v>Nov'24</v>
                </pt>
                <pt idx="8">
                  <v>Dec'24</v>
                </pt>
                <pt idx="9">
                  <v>Jan'25</v>
                </pt>
                <pt idx="10">
                  <v>Feb'25</v>
                </pt>
                <pt idx="11">
                  <v>March'25</v>
                </pt>
                <pt idx="12">
                  <v>April'25</v>
                </pt>
                <pt idx="13">
                  <v>May'25</v>
                </pt>
                <pt idx="14">
                  <v>June"25</v>
                </pt>
                <pt idx="15">
                  <v>July"25</v>
                </pt>
                <pt idx="16">
                  <v>Aug' 25</v>
                </pt>
                <pt idx="17">
                  <v>Sept' 25</v>
                </pt>
                <pt idx="18">
                  <v>Oct'25</v>
                </pt>
                <pt idx="19">
                  <v>Nov'25</v>
                </pt>
                <pt idx="20">
                  <v>Dec'25</v>
                </pt>
                <pt idx="21">
                  <v>Jan'26</v>
                </pt>
                <pt idx="22">
                  <v>Feb'26</v>
                </pt>
                <pt idx="23">
                  <v>Mar'26</v>
                </pt>
                <pt idx="24">
                  <v>April'26</v>
                </pt>
                <pt idx="25">
                  <v>May'26</v>
                </pt>
                <pt idx="26">
                  <v>June'26</v>
                </pt>
                <pt idx="27">
                  <v>July'26</v>
                </pt>
              </strCache>
            </strRef>
          </cat>
          <val>
            <numRef>
              <f>Monthly!$E$14:$AF$14</f>
              <numCache>
                <formatCode>General</formatCode>
                <ptCount val="28"/>
                <pt idx="0">
                  <v>42857.69</v>
                </pt>
                <pt idx="1">
                  <v>44537.04</v>
                </pt>
                <pt idx="2">
                  <v>42546</v>
                </pt>
                <pt idx="3">
                  <v>39368.52</v>
                </pt>
                <pt idx="4">
                  <v>38504</v>
                </pt>
                <pt idx="5">
                  <v>38342</v>
                </pt>
                <pt idx="6">
                  <v>40679.17</v>
                </pt>
                <pt idx="7">
                  <v>39197.92</v>
                </pt>
                <pt idx="8">
                  <v>38932</v>
                </pt>
                <pt idx="9">
                  <v>39070.37</v>
                </pt>
                <pt idx="10">
                  <v>39335.42</v>
                </pt>
                <pt idx="11">
                  <v>40662.5</v>
                </pt>
                <pt idx="12">
                  <formatCode xml:space="preserve">_ * #,##0_ ;_ * \-#,##0_ ;_ * "-"??_ ;_ @_ </formatCode>
                  <v>41371</v>
                </pt>
                <pt idx="13">
                  <formatCode xml:space="preserve">_ * #,##0_ ;_ * \-#,##0_ ;_ * "-"??_ ;_ @_ </formatCode>
                  <v>39868</v>
                </pt>
                <pt idx="14">
                  <formatCode xml:space="preserve">_ * #,##0_ ;_ * \-#,##0_ ;_ * "-"??_ ;_ @_ </formatCode>
                  <v>37878</v>
                </pt>
                <pt idx="15">
                  <formatCode xml:space="preserve">_ * #,##0_ ;_ * \-#,##0_ ;_ * "-"??_ ;_ @_ </formatCode>
                  <v>36974</v>
                </pt>
                <pt idx="16">
                  <formatCode xml:space="preserve">_ * #,##0_ ;_ * \-#,##0_ ;_ * "-"??_ ;_ @_ </formatCode>
                  <v>37430</v>
                </pt>
                <pt idx="17">
                  <formatCode xml:space="preserve">_ * #,##0_ ;_ * \-#,##0_ ;_ * "-"??_ ;_ @_ </formatCode>
                  <v>36787</v>
                </pt>
                <pt idx="18">
                  <formatCode xml:space="preserve">_ * #,##0_ ;_ * \-#,##0_ ;_ * "-"??_ ;_ @_ </formatCode>
                  <v>35152</v>
                </pt>
                <pt idx="19">
                  <formatCode xml:space="preserve">_ * #,##0_ ;_ * \-#,##0_ ;_ * "-"??_ ;_ @_ </formatCode>
                  <v>35554</v>
                </pt>
                <pt idx="20">
                  <formatCode xml:space="preserve">_ * #,##0_ ;_ * \-#,##0_ ;_ * "-"??_ ;_ @_ </formatCode>
                  <v>37175</v>
                </pt>
                <pt idx="21">
                  <formatCode xml:space="preserve">_ * #,##0_ ;_ * \-#,##0_ ;_ * "-"??_ ;_ @_ </formatCode>
                  <v>40504</v>
                </pt>
                <pt idx="22">
                  <formatCode xml:space="preserve">_ * #,##0_ ;_ * \-#,##0_ ;_ * "-"??_ ;_ @_ </formatCode>
                  <v>41236</v>
                </pt>
                <pt idx="23">
                  <formatCode xml:space="preserve">_ * #,##0_ ;_ * \-#,##0_ ;_ * "-"??_ ;_ @_ </formatCode>
                  <v>41600</v>
                </pt>
                <pt idx="24">
                  <formatCode xml:space="preserve">_ * #,##0_ ;_ * \-#,##0_ ;_ * "-"??_ ;_ @_ </formatCode>
                  <v>42474</v>
                </pt>
                <pt idx="25">
                  <formatCode xml:space="preserve">_ * #,##0_ ;_ * \-#,##0_ ;_ * "-"??_ ;_ @_ </formatCode>
                  <v>40148</v>
                </pt>
                <pt idx="26">
                  <formatCode xml:space="preserve">_ * #,##0_ ;_ * \-#,##0_ ;_ * "-"??_ ;_ @_ </formatCode>
                  <v>38819</v>
                </pt>
                <pt idx="27">
                  <formatCode xml:space="preserve">_ * #,##0_ ;_ * \-#,##0_ ;_ * "-"??_ ;_ @_ </formatCode>
                  <v>38164.81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853929856"/>
        <axId val="843797392"/>
      </lineChart>
      <catAx>
        <axId val="85392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43797392"/>
        <crosses val="autoZero"/>
        <auto val="1"/>
        <lblAlgn val="ctr"/>
        <lblOffset val="100"/>
        <noMultiLvlLbl val="0"/>
      </catAx>
      <valAx>
        <axId val="843797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5392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>
    <from>
      <col>2</col>
      <colOff>175172</colOff>
      <row>1</row>
      <rowOff>21897</rowOff>
    </from>
    <to>
      <col>11</col>
      <colOff>197069</colOff>
      <row>20</row>
      <rowOff>98534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44449</colOff>
      <row>1</row>
      <rowOff>32406</rowOff>
    </from>
    <to>
      <col>20</col>
      <colOff>262758</colOff>
      <row>20</row>
      <rowOff>98534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21</col>
      <colOff>186120</colOff>
      <row>1</row>
      <rowOff>65688</rowOff>
    </from>
    <to>
      <col>30</col>
      <colOff>339396</colOff>
      <row>20</row>
      <rowOff>109482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146538</colOff>
      <row>22</row>
      <rowOff>85479</rowOff>
    </from>
    <to>
      <col>11</col>
      <colOff>219807</colOff>
      <row>41</row>
      <rowOff>85480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12</col>
      <colOff>85482</colOff>
      <row>22</row>
      <rowOff>85481</rowOff>
    </from>
    <to>
      <col>20</col>
      <colOff>293077</colOff>
      <row>41</row>
      <rowOff>109904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21</col>
      <colOff>244229</colOff>
      <row>22</row>
      <rowOff>97692</rowOff>
    </from>
    <to>
      <col>30</col>
      <colOff>354133</colOff>
      <row>41</row>
      <rowOff>61058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bigmint.co/prices/ferrous/scrap-metallics/pig-iron" TargetMode="External" Id="rId1"/><Relationship Type="http://schemas.openxmlformats.org/officeDocument/2006/relationships/hyperlink" Target="https://www.bigmint.co/prices/detail/pig-iron-dap-raipur-india-1102-f-INR" TargetMode="External" Id="rId2"/><Relationship Type="http://schemas.openxmlformats.org/officeDocument/2006/relationships/hyperlink" Target="https://www.bigmint.co/prices/detail/pig-iron-dap-raipur-india-1102-f-INR" TargetMode="External" Id="rId3"/><Relationship Type="http://schemas.openxmlformats.org/officeDocument/2006/relationships/hyperlink" Target="https://www.bigmint.co/prices/ferrous/scrap-metallics/pig-iron" TargetMode="External" Id="rId4"/><Relationship Type="http://schemas.openxmlformats.org/officeDocument/2006/relationships/hyperlink" Target="https://www.bigmint.co/prices/detail/pig-iron-dap-raipur-india-1102-f-INR" TargetMode="External" Id="rId5"/><Relationship Type="http://schemas.openxmlformats.org/officeDocument/2006/relationships/hyperlink" Target="https://www.bigmint.co/prices/ferrous/scrap-metallics/pig-iron" TargetMode="External" Id="rId6"/><Relationship Type="http://schemas.openxmlformats.org/officeDocument/2006/relationships/hyperlink" Target="https://www.bigmint.co/prices/detail/pig-iron-dap-ludhiana-india-1100-f-INR" TargetMode="External" Id="rId7"/><Relationship Type="http://schemas.openxmlformats.org/officeDocument/2006/relationships/hyperlink" Target="https://www.bigmint.co/prices/detail/pig-iron-dap-ludhiana-india-1100-f-INR" TargetMode="External" Id="rId8"/><Relationship Type="http://schemas.openxmlformats.org/officeDocument/2006/relationships/hyperlink" Target="https://www.bigmint.co/prices/ferrous/scrap-metallics/pig-iron" TargetMode="External" Id="rId9"/><Relationship Type="http://schemas.openxmlformats.org/officeDocument/2006/relationships/hyperlink" Target="https://www.bigmint.co/prices/detail/pig-iron-dap-ludhiana-india-1100-f-INR" TargetMode="External" Id="rId10"/><Relationship Type="http://schemas.openxmlformats.org/officeDocument/2006/relationships/hyperlink" Target="https://www.bigmint.co/prices/ferrous/scrap-metallics/pig-iron" TargetMode="External" Id="rId11"/><Relationship Type="http://schemas.openxmlformats.org/officeDocument/2006/relationships/hyperlink" Target="https://www.bigmint.co/prices/detail/pig-iron-exw-durgapur-india-1096-f-INR" TargetMode="External" Id="rId12"/><Relationship Type="http://schemas.openxmlformats.org/officeDocument/2006/relationships/hyperlink" Target="https://www.bigmint.co/prices/detail/pig-iron-exw-durgapur-india-1096-f-INR" TargetMode="External" Id="rId13"/><Relationship Type="http://schemas.openxmlformats.org/officeDocument/2006/relationships/hyperlink" Target="https://www.bigmint.co/prices/ferrous/scrap-metallics/pig-iron" TargetMode="External" Id="rId14"/><Relationship Type="http://schemas.openxmlformats.org/officeDocument/2006/relationships/hyperlink" Target="https://www.bigmint.co/prices/detail/pig-iron-exw-durgapur-india-1096-f-INR" TargetMode="External" Id="rId15"/><Relationship Type="http://schemas.openxmlformats.org/officeDocument/2006/relationships/hyperlink" Target="https://www.bigmint.co/prices/ferrous/scrap-metallics/pig-iron" TargetMode="External" Id="rId16"/><Relationship Type="http://schemas.openxmlformats.org/officeDocument/2006/relationships/hyperlink" Target="https://www.bigmint.co/prices/detail/pig-iron-dap-hyderabad-india-1098-f-INR" TargetMode="External" Id="rId17"/><Relationship Type="http://schemas.openxmlformats.org/officeDocument/2006/relationships/hyperlink" Target="https://www.bigmint.co/prices/detail/pig-iron-dap-hyderabad-india-1098-f-INR" TargetMode="External" Id="rId18"/><Relationship Type="http://schemas.openxmlformats.org/officeDocument/2006/relationships/hyperlink" Target="https://www.bigmint.co/prices/ferrous/scrap-metallics/pig-iron" TargetMode="External" Id="rId19"/><Relationship Type="http://schemas.openxmlformats.org/officeDocument/2006/relationships/hyperlink" Target="https://www.bigmint.co/prices/detail/pig-iron-dap-hyderabad-india-1098-f-INR" TargetMode="External" Id="rId20"/><Relationship Type="http://schemas.openxmlformats.org/officeDocument/2006/relationships/hyperlink" Target="https://www.bigmint.co/prices/ferrous/scrap-metallics/pig-iron" TargetMode="External" Id="rId21"/><Relationship Type="http://schemas.openxmlformats.org/officeDocument/2006/relationships/hyperlink" Target="https://www.bigmint.co/prices/detail/pig-iron-dap-ludhiana-india-1108-f-INR" TargetMode="External" Id="rId22"/><Relationship Type="http://schemas.openxmlformats.org/officeDocument/2006/relationships/hyperlink" Target="https://www.bigmint.co/prices/detail/pig-iron-dap-ludhiana-india-1108-f-INR" TargetMode="External" Id="rId23"/><Relationship Type="http://schemas.openxmlformats.org/officeDocument/2006/relationships/hyperlink" Target="https://www.bigmint.co/prices/ferrous/scrap-metallics/pig-iron" TargetMode="External" Id="rId24"/><Relationship Type="http://schemas.openxmlformats.org/officeDocument/2006/relationships/hyperlink" Target="https://www.bigmint.co/prices/detail/pig-iron-dap-ludhiana-india-1108-f-INR" TargetMode="External" Id="rId25"/><Relationship Type="http://schemas.openxmlformats.org/officeDocument/2006/relationships/hyperlink" Target="https://www.bigmint.co/prices/ferrous/scrap-metallics/pig-iron" TargetMode="External" Id="rId26"/><Relationship Type="http://schemas.openxmlformats.org/officeDocument/2006/relationships/hyperlink" Target="https://www.bigmint.co/prices/detail/pig-iron-exw-durgapur-india-1105-f-INR" TargetMode="External" Id="rId27"/><Relationship Type="http://schemas.openxmlformats.org/officeDocument/2006/relationships/hyperlink" Target="https://www.bigmint.co/prices/detail/pig-iron-exw-durgapur-india-1105-f-INR" TargetMode="External" Id="rId28"/><Relationship Type="http://schemas.openxmlformats.org/officeDocument/2006/relationships/hyperlink" Target="https://www.bigmint.co/prices/ferrous/scrap-metallics/pig-iron" TargetMode="External" Id="rId29"/><Relationship Type="http://schemas.openxmlformats.org/officeDocument/2006/relationships/hyperlink" Target="https://www.bigmint.co/prices/detail/pig-iron-exw-durgapur-india-1105-f-INR" TargetMode="External" Id="rId30"/><Relationship Type="http://schemas.openxmlformats.org/officeDocument/2006/relationships/hyperlink" Target="https://www.bigmint.co/prices/ferrous/scrap-metallics/melting-scrap" TargetMode="External" Id="rId31"/><Relationship Type="http://schemas.openxmlformats.org/officeDocument/2006/relationships/hyperlink" Target="https://www.bigmint.co/prices/detail/melting-scrap-dap-raipur-india-1040-f-INR" TargetMode="External" Id="rId32"/><Relationship Type="http://schemas.openxmlformats.org/officeDocument/2006/relationships/hyperlink" Target="https://www.bigmint.co/prices/detail/melting-scrap-dap-raipur-india-1040-f-INR" TargetMode="External" Id="rId33"/><Relationship Type="http://schemas.openxmlformats.org/officeDocument/2006/relationships/hyperlink" Target="https://www.bigmint.co/prices/ferrous/scrap-metallics/melting-scrap" TargetMode="External" Id="rId34"/><Relationship Type="http://schemas.openxmlformats.org/officeDocument/2006/relationships/hyperlink" Target="https://www.bigmint.co/prices/detail/melting-scrap-dap-raipur-india-1040-f-INR" TargetMode="External" Id="rId35"/><Relationship Type="http://schemas.openxmlformats.org/officeDocument/2006/relationships/hyperlink" Target="https://www.bigmint.co/prices/ferrous/scrap-metallics/melting-scrap" TargetMode="External" Id="rId36"/><Relationship Type="http://schemas.openxmlformats.org/officeDocument/2006/relationships/hyperlink" Target="https://www.bigmint.co/prices/detail/melting-scrap-dap-raipur-india-1041-f-INR" TargetMode="External" Id="rId37"/><Relationship Type="http://schemas.openxmlformats.org/officeDocument/2006/relationships/hyperlink" Target="https://www.bigmint.co/prices/detail/melting-scrap-dap-raipur-india-1041-f-INR" TargetMode="External" Id="rId38"/><Relationship Type="http://schemas.openxmlformats.org/officeDocument/2006/relationships/hyperlink" Target="https://www.bigmint.co/prices/ferrous/scrap-metallics/melting-scrap" TargetMode="External" Id="rId39"/><Relationship Type="http://schemas.openxmlformats.org/officeDocument/2006/relationships/hyperlink" Target="https://www.bigmint.co/prices/detail/melting-scrap-dap-raipur-india-1041-f-INR" TargetMode="External" Id="rId40"/><Relationship Type="http://schemas.openxmlformats.org/officeDocument/2006/relationships/hyperlink" Target="https://www.bigmint.co/prices/ferrous/scrap-metallics/sponge-iron" TargetMode="External" Id="rId41"/><Relationship Type="http://schemas.openxmlformats.org/officeDocument/2006/relationships/hyperlink" Target="https://www.bigmint.co/prices/detail/sponge-iron-pdri-exw-raipur-india-1091-f-INR" TargetMode="External" Id="rId42"/><Relationship Type="http://schemas.openxmlformats.org/officeDocument/2006/relationships/hyperlink" Target="https://www.bigmint.co/prices/detail/sponge-iron-pdri-exw-raipur-india-1091-f-INR" TargetMode="External" Id="rId43"/><Relationship Type="http://schemas.openxmlformats.org/officeDocument/2006/relationships/hyperlink" Target="https://www.bigmint.co/prices/ferrous/scrap-metallics/sponge-iron" TargetMode="External" Id="rId44"/><Relationship Type="http://schemas.openxmlformats.org/officeDocument/2006/relationships/hyperlink" Target="https://www.bigmint.co/prices/detail/sponge-iron-pdri-exw-raipur-india-1091-f-INR" TargetMode="External" Id="rId45"/><Relationship Type="http://schemas.openxmlformats.org/officeDocument/2006/relationships/hyperlink" Target="https://www.bigmint.co/prices/ferrous/steel/rebar" TargetMode="External" Id="rId46"/><Relationship Type="http://schemas.openxmlformats.org/officeDocument/2006/relationships/hyperlink" Target="https://www.bigmint.co/prices/detail/rebar-exw-mumbai-india-1122-f-INR" TargetMode="External" Id="rId47"/><Relationship Type="http://schemas.openxmlformats.org/officeDocument/2006/relationships/hyperlink" Target="https://www.bigmint.co/prices/detail/rebar-exw-mumbai-india-1122-f-INR" TargetMode="External" Id="rId48"/><Relationship Type="http://schemas.openxmlformats.org/officeDocument/2006/relationships/hyperlink" Target="https://www.bigmint.co/prices/ferrous/steel/rebar" TargetMode="External" Id="rId49"/><Relationship Type="http://schemas.openxmlformats.org/officeDocument/2006/relationships/hyperlink" Target="https://www.bigmint.co/prices/detail/rebar-exw-mumbai-india-1122-f-INR" TargetMode="External" Id="rId50"/><Relationship Type="http://schemas.openxmlformats.org/officeDocument/2006/relationships/hyperlink" Target="https://www.bigmint.co/prices/ferrous/steel/rebar" TargetMode="External" Id="rId51"/><Relationship Type="http://schemas.openxmlformats.org/officeDocument/2006/relationships/hyperlink" Target="https://www.bigmint.co/prices/detail/rebar-exw-raipur-india-1117-f-INR" TargetMode="External" Id="rId52"/><Relationship Type="http://schemas.openxmlformats.org/officeDocument/2006/relationships/hyperlink" Target="https://www.bigmint.co/prices/detail/rebar-exw-raipur-india-1117-f-INR" TargetMode="External" Id="rId53"/><Relationship Type="http://schemas.openxmlformats.org/officeDocument/2006/relationships/hyperlink" Target="https://www.bigmint.co/prices/ferrous/steel/rebar" TargetMode="External" Id="rId54"/><Relationship Type="http://schemas.openxmlformats.org/officeDocument/2006/relationships/hyperlink" Target="https://www.bigmint.co/prices/detail/rebar-exw-raipur-india-1117-f-INR" TargetMode="External" Id="rId55"/><Relationship Type="http://schemas.openxmlformats.org/officeDocument/2006/relationships/hyperlink" Target="https://www.bigmint.co/prices/ferrous/steel/rebar" TargetMode="External" Id="rId56"/><Relationship Type="http://schemas.openxmlformats.org/officeDocument/2006/relationships/hyperlink" Target="https://www.bigmint.co/prices/detail/rebar-exy-mumbai-india-1127-f-INR" TargetMode="External" Id="rId57"/><Relationship Type="http://schemas.openxmlformats.org/officeDocument/2006/relationships/hyperlink" Target="https://www.bigmint.co/prices/detail/rebar-exy-mumbai-india-1127-f-INR" TargetMode="External" Id="rId58"/><Relationship Type="http://schemas.openxmlformats.org/officeDocument/2006/relationships/hyperlink" Target="https://www.bigmint.co/prices/ferrous/steel/rebar" TargetMode="External" Id="rId59"/><Relationship Type="http://schemas.openxmlformats.org/officeDocument/2006/relationships/hyperlink" Target="https://www.bigmint.co/prices/detail/rebar-exy-mumbai-india-1127-f-INR" TargetMode="External" Id="rId60"/><Relationship Type="http://schemas.openxmlformats.org/officeDocument/2006/relationships/hyperlink" Target="https://www.bigmint.co/prices/ferrous/steel/billetbloomingot" TargetMode="External" Id="rId61"/><Relationship Type="http://schemas.openxmlformats.org/officeDocument/2006/relationships/hyperlink" Target="https://www.bigmint.co/prices/detail/billet-index-exw-raipur-india-1067-f-INR" TargetMode="External" Id="rId62"/><Relationship Type="http://schemas.openxmlformats.org/officeDocument/2006/relationships/hyperlink" Target="https://www.bigmint.co/prices/detail/billet-index-exw-raipur-india-1067-f-INR" TargetMode="External" Id="rId63"/><Relationship Type="http://schemas.openxmlformats.org/officeDocument/2006/relationships/hyperlink" Target="https://www.bigmint.co/prices/ferrous/steel/billetbloomingot" TargetMode="External" Id="rId64"/><Relationship Type="http://schemas.openxmlformats.org/officeDocument/2006/relationships/hyperlink" Target="https://www.bigmint.co/prices/detail/billet-index-exw-raipur-india-1067-f-INR" TargetMode="External" Id="rId65"/><Relationship Type="http://schemas.openxmlformats.org/officeDocument/2006/relationships/hyperlink" Target="https://www.bigmint.co/prices/ferrous/steel/billetbloomingot" TargetMode="External" Id="rId66"/><Relationship Type="http://schemas.openxmlformats.org/officeDocument/2006/relationships/hyperlink" Target="https://www.bigmint.co/prices/detail/ingot-exw-raipur-india-1275-f-INR" TargetMode="External" Id="rId67"/><Relationship Type="http://schemas.openxmlformats.org/officeDocument/2006/relationships/hyperlink" Target="https://www.bigmint.co/prices/detail/ingot-exw-raipur-india-1275-f-INR" TargetMode="External" Id="rId68"/><Relationship Type="http://schemas.openxmlformats.org/officeDocument/2006/relationships/hyperlink" Target="https://www.bigmint.co/prices/ferrous/steel/billetbloomingot" TargetMode="External" Id="rId69"/><Relationship Type="http://schemas.openxmlformats.org/officeDocument/2006/relationships/hyperlink" Target="https://www.bigmint.co/prices/detail/ingot-exw-raipur-india-1275-f-INR" TargetMode="External" Id="rId70"/><Relationship Type="http://schemas.openxmlformats.org/officeDocument/2006/relationships/hyperlink" Target="https://www.bigmint.co/prices/ferrous/iron-ore/pellets" TargetMode="External" Id="rId71"/><Relationship Type="http://schemas.openxmlformats.org/officeDocument/2006/relationships/hyperlink" Target="https://www.bigmint.co/prices/detail/pellet-index-pellex-dap-raipur-india-1401-f-INR" TargetMode="External" Id="rId72"/><Relationship Type="http://schemas.openxmlformats.org/officeDocument/2006/relationships/hyperlink" Target="https://www.bigmint.co/prices/detail/pellet-index-pellex-dap-raipur-india-1401-f-INR" TargetMode="External" Id="rId73"/><Relationship Type="http://schemas.openxmlformats.org/officeDocument/2006/relationships/hyperlink" Target="https://www.bigmint.co/prices/ferrous/iron-ore/pellets" TargetMode="External" Id="rId74"/><Relationship Type="http://schemas.openxmlformats.org/officeDocument/2006/relationships/hyperlink" Target="https://www.bigmint.co/prices/detail/pellet-index-pellex-dap-raipur-india-1401-f-INR" TargetMode="External" Id="rId75"/><Relationship Type="http://schemas.openxmlformats.org/officeDocument/2006/relationships/hyperlink" Target="https://www.bigmint.co/prices/ferrous/steel/hrc" TargetMode="External" Id="rId76"/><Relationship Type="http://schemas.openxmlformats.org/officeDocument/2006/relationships/hyperlink" Target="https://www.bigmint.co/prices/detail/hrc-exy-mumbai-india-1234-f-INR" TargetMode="External" Id="rId77"/><Relationship Type="http://schemas.openxmlformats.org/officeDocument/2006/relationships/hyperlink" Target="https://www.bigmint.co/prices/detail/hrc-exy-mumbai-india-1234-f-INR" TargetMode="External" Id="rId78"/><Relationship Type="http://schemas.openxmlformats.org/officeDocument/2006/relationships/hyperlink" Target="https://www.bigmint.co/prices/ferrous/steel/hrc" TargetMode="External" Id="rId79"/><Relationship Type="http://schemas.openxmlformats.org/officeDocument/2006/relationships/hyperlink" Target="https://www.bigmint.co/prices/detail/hrc-exy-mumbai-india-1234-f-INR" TargetMode="External" Id="rId80"/><Relationship Type="http://schemas.openxmlformats.org/officeDocument/2006/relationships/hyperlink" Target="https://www.bigmint.co/prices/ferrous/steel/crc" TargetMode="External" Id="rId81"/><Relationship Type="http://schemas.openxmlformats.org/officeDocument/2006/relationships/hyperlink" Target="https://www.bigmint.co/prices/detail/crc-exy-mumbai-india-1243-f-INR" TargetMode="External" Id="rId82"/><Relationship Type="http://schemas.openxmlformats.org/officeDocument/2006/relationships/hyperlink" Target="https://www.bigmint.co/prices/detail/crc-exy-mumbai-india-1243-f-INR" TargetMode="External" Id="rId83"/><Relationship Type="http://schemas.openxmlformats.org/officeDocument/2006/relationships/hyperlink" Target="https://www.bigmint.co/prices/ferrous/steel/crc" TargetMode="External" Id="rId84"/><Relationship Type="http://schemas.openxmlformats.org/officeDocument/2006/relationships/hyperlink" Target="https://www.bigmint.co/prices/detail/crc-exy-mumbai-india-1243-f-INR" TargetMode="External" Id="rId85"/><Relationship Type="http://schemas.openxmlformats.org/officeDocument/2006/relationships/hyperlink" Target="https://www.bigmint.co/prices/ferrous/steel/hr-plate" TargetMode="External" Id="rId86"/><Relationship Type="http://schemas.openxmlformats.org/officeDocument/2006/relationships/hyperlink" Target="https://www.bigmint.co/prices/detail/hr-plate-exy-mumbai-india-1496-f-INR" TargetMode="External" Id="rId87"/><Relationship Type="http://schemas.openxmlformats.org/officeDocument/2006/relationships/hyperlink" Target="https://www.bigmint.co/prices/detail/hr-plate-exy-mumbai-india-1496-f-INR" TargetMode="External" Id="rId88"/><Relationship Type="http://schemas.openxmlformats.org/officeDocument/2006/relationships/hyperlink" Target="https://www.bigmint.co/prices/ferrous/steel/hr-plate" TargetMode="External" Id="rId89"/><Relationship Type="http://schemas.openxmlformats.org/officeDocument/2006/relationships/hyperlink" Target="https://www.bigmint.co/prices/detail/hr-plate-exy-mumbai-india-1496-f-INR" TargetMode="External" Id="rId90"/><Relationship Type="http://schemas.openxmlformats.org/officeDocument/2006/relationships/hyperlink" Target="https://www.bigmint.co/prices/ferrous/steel/gp" TargetMode="External" Id="rId91"/><Relationship Type="http://schemas.openxmlformats.org/officeDocument/2006/relationships/hyperlink" Target="https://www.bigmint.co/prices/detail/gp-exy-mumbai-india-1678-f-INR" TargetMode="External" Id="rId92"/><Relationship Type="http://schemas.openxmlformats.org/officeDocument/2006/relationships/hyperlink" Target="https://www.bigmint.co/prices/detail/gp-exy-mumbai-india-1678-f-INR" TargetMode="External" Id="rId93"/><Relationship Type="http://schemas.openxmlformats.org/officeDocument/2006/relationships/hyperlink" Target="https://www.bigmint.co/prices/ferrous/steel/gp" TargetMode="External" Id="rId94"/><Relationship Type="http://schemas.openxmlformats.org/officeDocument/2006/relationships/hyperlink" Target="https://www.bigmint.co/prices/detail/gp-exy-mumbai-india-1678-f-INR" TargetMode="External" Id="rId95"/><Relationship Type="http://schemas.openxmlformats.org/officeDocument/2006/relationships/hyperlink" Target="https://www.bigmint.co/prices/ferrous/steel/pipes" TargetMode="External" Id="rId96"/><Relationship Type="http://schemas.openxmlformats.org/officeDocument/2006/relationships/hyperlink" Target="https://www.bigmint.co/prices/detail/erw-pipe-hr-coil-based-exy-mumbai-india-1475-f-INR" TargetMode="External" Id="rId97"/><Relationship Type="http://schemas.openxmlformats.org/officeDocument/2006/relationships/hyperlink" Target="https://www.bigmint.co/prices/detail/erw-pipe-hr-coil-based-exy-mumbai-india-1475-f-INR" TargetMode="External" Id="rId98"/><Relationship Type="http://schemas.openxmlformats.org/officeDocument/2006/relationships/hyperlink" Target="https://www.bigmint.co/prices/ferrous/steel/pipes" TargetMode="External" Id="rId99"/><Relationship Type="http://schemas.openxmlformats.org/officeDocument/2006/relationships/hyperlink" Target="https://www.bigmint.co/prices/detail/erw-pipe-hr-coil-based-exy-mumbai-india-1475-f-INR" TargetMode="External" Id="rId100"/><Relationship Type="http://schemas.openxmlformats.org/officeDocument/2006/relationships/hyperlink" Target="https://www.bigmint.co/prices/ferrous/steel/pipes" TargetMode="External" Id="rId101"/><Relationship Type="http://schemas.openxmlformats.org/officeDocument/2006/relationships/hyperlink" Target="https://www.bigmint.co/prices/detail/erw-pipe-hr-coil-based-exy-delhi-india-1426-f-INR" TargetMode="External" Id="rId102"/><Relationship Type="http://schemas.openxmlformats.org/officeDocument/2006/relationships/hyperlink" Target="https://www.bigmint.co/prices/detail/erw-pipe-hr-coil-based-exy-delhi-india-1426-f-INR" TargetMode="External" Id="rId103"/><Relationship Type="http://schemas.openxmlformats.org/officeDocument/2006/relationships/hyperlink" Target="https://www.bigmint.co/prices/ferrous/steel/pipes" TargetMode="External" Id="rId104"/><Relationship Type="http://schemas.openxmlformats.org/officeDocument/2006/relationships/hyperlink" Target="https://www.bigmint.co/prices/detail/erw-pipe-hr-coil-based-exy-delhi-india-1426-f-INR" TargetMode="External" Id="rId105"/><Relationship Type="http://schemas.openxmlformats.org/officeDocument/2006/relationships/hyperlink" Target="https://www.bigmint.co/prices/detail/galvalume-exy-mumbai-india-1521-f-INR" TargetMode="External" Id="rId106"/><Relationship Type="http://schemas.openxmlformats.org/officeDocument/2006/relationships/hyperlink" Target="https://www.bigmint.co/prices/detail/galvalume-exy-mumbai-india-1518-f-INR" TargetMode="External" Id="rId107"/><Relationship Type="http://schemas.openxmlformats.org/officeDocument/2006/relationships/hyperlink" Target="https://www.bigmint.co/prices/detail/ppgi-exy-mumbai-india-1369-f-INR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bigmint.co/prices/ferrous/scrap-metallics/pig-iron" TargetMode="External" Id="rId1"/><Relationship Type="http://schemas.openxmlformats.org/officeDocument/2006/relationships/hyperlink" Target="https://www.bigmint.co/prices/detail/pig-iron-dap-raipur-india-1102-f-INR" TargetMode="External" Id="rId2"/><Relationship Type="http://schemas.openxmlformats.org/officeDocument/2006/relationships/hyperlink" Target="https://www.bigmint.co/prices/detail/pig-iron-dap-raipur-india-1102-f-INR" TargetMode="External" Id="rId3"/><Relationship Type="http://schemas.openxmlformats.org/officeDocument/2006/relationships/hyperlink" Target="https://www.bigmint.co/prices/ferrous/scrap-metallics/pig-iron" TargetMode="External" Id="rId4"/><Relationship Type="http://schemas.openxmlformats.org/officeDocument/2006/relationships/hyperlink" Target="https://www.bigmint.co/prices/detail/pig-iron-dap-raipur-india-1102-f-INR" TargetMode="External" Id="rId5"/><Relationship Type="http://schemas.openxmlformats.org/officeDocument/2006/relationships/hyperlink" Target="https://www.bigmint.co/prices/ferrous/scrap-metallics/pig-iron" TargetMode="External" Id="rId6"/><Relationship Type="http://schemas.openxmlformats.org/officeDocument/2006/relationships/hyperlink" Target="https://www.bigmint.co/prices/detail/pig-iron-dap-ludhiana-india-1100-f-INR" TargetMode="External" Id="rId7"/><Relationship Type="http://schemas.openxmlformats.org/officeDocument/2006/relationships/hyperlink" Target="https://www.bigmint.co/prices/detail/pig-iron-dap-ludhiana-india-1100-f-INR" TargetMode="External" Id="rId8"/><Relationship Type="http://schemas.openxmlformats.org/officeDocument/2006/relationships/hyperlink" Target="https://www.bigmint.co/prices/ferrous/scrap-metallics/pig-iron" TargetMode="External" Id="rId9"/><Relationship Type="http://schemas.openxmlformats.org/officeDocument/2006/relationships/hyperlink" Target="https://www.bigmint.co/prices/detail/pig-iron-dap-ludhiana-india-1100-f-INR" TargetMode="External" Id="rId10"/><Relationship Type="http://schemas.openxmlformats.org/officeDocument/2006/relationships/hyperlink" Target="https://www.bigmint.co/prices/ferrous/scrap-metallics/pig-iron" TargetMode="External" Id="rId11"/><Relationship Type="http://schemas.openxmlformats.org/officeDocument/2006/relationships/hyperlink" Target="https://www.bigmint.co/prices/detail/pig-iron-exw-durgapur-india-1096-f-INR" TargetMode="External" Id="rId12"/><Relationship Type="http://schemas.openxmlformats.org/officeDocument/2006/relationships/hyperlink" Target="https://www.bigmint.co/prices/detail/pig-iron-exw-durgapur-india-1096-f-INR" TargetMode="External" Id="rId13"/><Relationship Type="http://schemas.openxmlformats.org/officeDocument/2006/relationships/hyperlink" Target="https://www.bigmint.co/prices/ferrous/scrap-metallics/pig-iron" TargetMode="External" Id="rId14"/><Relationship Type="http://schemas.openxmlformats.org/officeDocument/2006/relationships/hyperlink" Target="https://www.bigmint.co/prices/detail/pig-iron-exw-durgapur-india-1096-f-INR" TargetMode="External" Id="rId15"/><Relationship Type="http://schemas.openxmlformats.org/officeDocument/2006/relationships/hyperlink" Target="https://www.bigmint.co/prices/ferrous/scrap-metallics/pig-iron" TargetMode="External" Id="rId16"/><Relationship Type="http://schemas.openxmlformats.org/officeDocument/2006/relationships/hyperlink" Target="https://www.bigmint.co/prices/detail/pig-iron-dap-hyderabad-india-1098-f-INR" TargetMode="External" Id="rId17"/><Relationship Type="http://schemas.openxmlformats.org/officeDocument/2006/relationships/hyperlink" Target="https://www.bigmint.co/prices/detail/pig-iron-dap-hyderabad-india-1098-f-INR" TargetMode="External" Id="rId18"/><Relationship Type="http://schemas.openxmlformats.org/officeDocument/2006/relationships/hyperlink" Target="https://www.bigmint.co/prices/ferrous/scrap-metallics/pig-iron" TargetMode="External" Id="rId19"/><Relationship Type="http://schemas.openxmlformats.org/officeDocument/2006/relationships/hyperlink" Target="https://www.bigmint.co/prices/detail/pig-iron-dap-hyderabad-india-1098-f-INR" TargetMode="External" Id="rId20"/><Relationship Type="http://schemas.openxmlformats.org/officeDocument/2006/relationships/hyperlink" Target="https://www.bigmint.co/prices/ferrous/scrap-metallics/pig-iron" TargetMode="External" Id="rId21"/><Relationship Type="http://schemas.openxmlformats.org/officeDocument/2006/relationships/hyperlink" Target="https://www.bigmint.co/prices/detail/pig-iron-dap-ludhiana-india-1108-f-INR" TargetMode="External" Id="rId22"/><Relationship Type="http://schemas.openxmlformats.org/officeDocument/2006/relationships/hyperlink" Target="https://www.bigmint.co/prices/detail/pig-iron-dap-ludhiana-india-1108-f-INR" TargetMode="External" Id="rId23"/><Relationship Type="http://schemas.openxmlformats.org/officeDocument/2006/relationships/hyperlink" Target="https://www.bigmint.co/prices/ferrous/scrap-metallics/pig-iron" TargetMode="External" Id="rId24"/><Relationship Type="http://schemas.openxmlformats.org/officeDocument/2006/relationships/hyperlink" Target="https://www.bigmint.co/prices/detail/pig-iron-dap-ludhiana-india-1108-f-INR" TargetMode="External" Id="rId25"/><Relationship Type="http://schemas.openxmlformats.org/officeDocument/2006/relationships/hyperlink" Target="https://www.bigmint.co/prices/ferrous/scrap-metallics/pig-iron" TargetMode="External" Id="rId26"/><Relationship Type="http://schemas.openxmlformats.org/officeDocument/2006/relationships/hyperlink" Target="https://www.bigmint.co/prices/detail/pig-iron-exw-durgapur-india-1105-f-INR" TargetMode="External" Id="rId27"/><Relationship Type="http://schemas.openxmlformats.org/officeDocument/2006/relationships/hyperlink" Target="https://www.bigmint.co/prices/detail/pig-iron-exw-durgapur-india-1105-f-INR" TargetMode="External" Id="rId28"/><Relationship Type="http://schemas.openxmlformats.org/officeDocument/2006/relationships/hyperlink" Target="https://www.bigmint.co/prices/ferrous/scrap-metallics/pig-iron" TargetMode="External" Id="rId29"/><Relationship Type="http://schemas.openxmlformats.org/officeDocument/2006/relationships/hyperlink" Target="https://www.bigmint.co/prices/detail/pig-iron-exw-durgapur-india-1105-f-INR" TargetMode="External" Id="rId30"/><Relationship Type="http://schemas.openxmlformats.org/officeDocument/2006/relationships/hyperlink" Target="https://www.bigmint.co/prices/ferrous/scrap-metallics/melting-scrap" TargetMode="External" Id="rId31"/><Relationship Type="http://schemas.openxmlformats.org/officeDocument/2006/relationships/hyperlink" Target="https://www.bigmint.co/prices/detail/melting-scrap-dap-raipur-india-1040-f-INR" TargetMode="External" Id="rId32"/><Relationship Type="http://schemas.openxmlformats.org/officeDocument/2006/relationships/hyperlink" Target="https://www.bigmint.co/prices/detail/melting-scrap-dap-raipur-india-1040-f-INR" TargetMode="External" Id="rId33"/><Relationship Type="http://schemas.openxmlformats.org/officeDocument/2006/relationships/hyperlink" Target="https://www.bigmint.co/prices/ferrous/scrap-metallics/melting-scrap" TargetMode="External" Id="rId34"/><Relationship Type="http://schemas.openxmlformats.org/officeDocument/2006/relationships/hyperlink" Target="https://www.bigmint.co/prices/detail/melting-scrap-dap-raipur-india-1040-f-INR" TargetMode="External" Id="rId35"/><Relationship Type="http://schemas.openxmlformats.org/officeDocument/2006/relationships/hyperlink" Target="https://www.bigmint.co/prices/ferrous/scrap-metallics/melting-scrap" TargetMode="External" Id="rId36"/><Relationship Type="http://schemas.openxmlformats.org/officeDocument/2006/relationships/hyperlink" Target="https://www.bigmint.co/prices/detail/melting-scrap-dap-raipur-india-1041-f-INR" TargetMode="External" Id="rId37"/><Relationship Type="http://schemas.openxmlformats.org/officeDocument/2006/relationships/hyperlink" Target="https://www.bigmint.co/prices/detail/melting-scrap-dap-raipur-india-1041-f-INR" TargetMode="External" Id="rId38"/><Relationship Type="http://schemas.openxmlformats.org/officeDocument/2006/relationships/hyperlink" Target="https://www.bigmint.co/prices/ferrous/scrap-metallics/melting-scrap" TargetMode="External" Id="rId39"/><Relationship Type="http://schemas.openxmlformats.org/officeDocument/2006/relationships/hyperlink" Target="https://www.bigmint.co/prices/detail/melting-scrap-dap-raipur-india-1041-f-INR" TargetMode="External" Id="rId40"/><Relationship Type="http://schemas.openxmlformats.org/officeDocument/2006/relationships/hyperlink" Target="https://www.bigmint.co/prices/ferrous/scrap-metallics/sponge-iron" TargetMode="External" Id="rId41"/><Relationship Type="http://schemas.openxmlformats.org/officeDocument/2006/relationships/hyperlink" Target="https://www.bigmint.co/prices/detail/sponge-iron-pdri-exw-raipur-india-1091-f-INR" TargetMode="External" Id="rId42"/><Relationship Type="http://schemas.openxmlformats.org/officeDocument/2006/relationships/hyperlink" Target="https://www.bigmint.co/prices/detail/sponge-iron-pdri-exw-raipur-india-1091-f-INR" TargetMode="External" Id="rId43"/><Relationship Type="http://schemas.openxmlformats.org/officeDocument/2006/relationships/hyperlink" Target="https://www.bigmint.co/prices/ferrous/scrap-metallics/sponge-iron" TargetMode="External" Id="rId44"/><Relationship Type="http://schemas.openxmlformats.org/officeDocument/2006/relationships/hyperlink" Target="https://www.bigmint.co/prices/detail/sponge-iron-pdri-exw-raipur-india-1091-f-INR" TargetMode="External" Id="rId45"/><Relationship Type="http://schemas.openxmlformats.org/officeDocument/2006/relationships/hyperlink" Target="https://www.bigmint.co/prices/ferrous/steel/rebar" TargetMode="External" Id="rId46"/><Relationship Type="http://schemas.openxmlformats.org/officeDocument/2006/relationships/hyperlink" Target="https://www.bigmint.co/prices/detail/rebar-exw-mumbai-india-1122-f-INR" TargetMode="External" Id="rId47"/><Relationship Type="http://schemas.openxmlformats.org/officeDocument/2006/relationships/hyperlink" Target="https://www.bigmint.co/prices/detail/rebar-exw-mumbai-india-1122-f-INR" TargetMode="External" Id="rId48"/><Relationship Type="http://schemas.openxmlformats.org/officeDocument/2006/relationships/hyperlink" Target="https://www.bigmint.co/prices/ferrous/steel/rebar" TargetMode="External" Id="rId49"/><Relationship Type="http://schemas.openxmlformats.org/officeDocument/2006/relationships/hyperlink" Target="https://www.bigmint.co/prices/detail/rebar-exw-mumbai-india-1122-f-INR" TargetMode="External" Id="rId50"/><Relationship Type="http://schemas.openxmlformats.org/officeDocument/2006/relationships/hyperlink" Target="https://www.bigmint.co/prices/ferrous/steel/rebar" TargetMode="External" Id="rId51"/><Relationship Type="http://schemas.openxmlformats.org/officeDocument/2006/relationships/hyperlink" Target="https://www.bigmint.co/prices/detail/rebar-exw-raipur-india-1117-f-INR" TargetMode="External" Id="rId52"/><Relationship Type="http://schemas.openxmlformats.org/officeDocument/2006/relationships/hyperlink" Target="https://www.bigmint.co/prices/detail/rebar-exw-raipur-india-1117-f-INR" TargetMode="External" Id="rId53"/><Relationship Type="http://schemas.openxmlformats.org/officeDocument/2006/relationships/hyperlink" Target="https://www.bigmint.co/prices/ferrous/steel/rebar" TargetMode="External" Id="rId54"/><Relationship Type="http://schemas.openxmlformats.org/officeDocument/2006/relationships/hyperlink" Target="https://www.bigmint.co/prices/detail/rebar-exw-raipur-india-1117-f-INR" TargetMode="External" Id="rId55"/><Relationship Type="http://schemas.openxmlformats.org/officeDocument/2006/relationships/hyperlink" Target="https://www.bigmint.co/prices/ferrous/steel/rebar" TargetMode="External" Id="rId56"/><Relationship Type="http://schemas.openxmlformats.org/officeDocument/2006/relationships/hyperlink" Target="https://www.bigmint.co/prices/detail/rebar-exy-mumbai-india-1127-f-INR" TargetMode="External" Id="rId57"/><Relationship Type="http://schemas.openxmlformats.org/officeDocument/2006/relationships/hyperlink" Target="https://www.bigmint.co/prices/detail/rebar-exy-mumbai-india-1127-f-INR" TargetMode="External" Id="rId58"/><Relationship Type="http://schemas.openxmlformats.org/officeDocument/2006/relationships/hyperlink" Target="https://www.bigmint.co/prices/ferrous/steel/rebar" TargetMode="External" Id="rId59"/><Relationship Type="http://schemas.openxmlformats.org/officeDocument/2006/relationships/hyperlink" Target="https://www.bigmint.co/prices/detail/rebar-exy-mumbai-india-1127-f-INR" TargetMode="External" Id="rId60"/><Relationship Type="http://schemas.openxmlformats.org/officeDocument/2006/relationships/hyperlink" Target="https://www.bigmint.co/prices/ferrous/steel/billetbloomingot" TargetMode="External" Id="rId61"/><Relationship Type="http://schemas.openxmlformats.org/officeDocument/2006/relationships/hyperlink" Target="https://www.bigmint.co/prices/detail/billet-index-exw-raipur-india-1067-f-INR" TargetMode="External" Id="rId62"/><Relationship Type="http://schemas.openxmlformats.org/officeDocument/2006/relationships/hyperlink" Target="https://www.bigmint.co/prices/detail/billet-index-exw-raipur-india-1067-f-INR" TargetMode="External" Id="rId63"/><Relationship Type="http://schemas.openxmlformats.org/officeDocument/2006/relationships/hyperlink" Target="https://www.bigmint.co/prices/ferrous/steel/billetbloomingot" TargetMode="External" Id="rId64"/><Relationship Type="http://schemas.openxmlformats.org/officeDocument/2006/relationships/hyperlink" Target="https://www.bigmint.co/prices/detail/billet-index-exw-raipur-india-1067-f-INR" TargetMode="External" Id="rId65"/><Relationship Type="http://schemas.openxmlformats.org/officeDocument/2006/relationships/hyperlink" Target="https://www.bigmint.co/prices/ferrous/steel/billetbloomingot" TargetMode="External" Id="rId66"/><Relationship Type="http://schemas.openxmlformats.org/officeDocument/2006/relationships/hyperlink" Target="https://www.bigmint.co/prices/detail/ingot-exw-raipur-india-1275-f-INR" TargetMode="External" Id="rId67"/><Relationship Type="http://schemas.openxmlformats.org/officeDocument/2006/relationships/hyperlink" Target="https://www.bigmint.co/prices/detail/ingot-exw-raipur-india-1275-f-INR" TargetMode="External" Id="rId68"/><Relationship Type="http://schemas.openxmlformats.org/officeDocument/2006/relationships/hyperlink" Target="https://www.bigmint.co/prices/ferrous/steel/billetbloomingot" TargetMode="External" Id="rId69"/><Relationship Type="http://schemas.openxmlformats.org/officeDocument/2006/relationships/hyperlink" Target="https://www.bigmint.co/prices/detail/ingot-exw-raipur-india-1275-f-INR" TargetMode="External" Id="rId70"/><Relationship Type="http://schemas.openxmlformats.org/officeDocument/2006/relationships/hyperlink" Target="https://www.bigmint.co/prices/ferrous/iron-ore/pellets" TargetMode="External" Id="rId71"/><Relationship Type="http://schemas.openxmlformats.org/officeDocument/2006/relationships/hyperlink" Target="https://www.bigmint.co/prices/detail/pellet-index-pellex-dap-raipur-india-1401-f-INR" TargetMode="External" Id="rId72"/><Relationship Type="http://schemas.openxmlformats.org/officeDocument/2006/relationships/hyperlink" Target="https://www.bigmint.co/prices/detail/pellet-index-pellex-dap-raipur-india-1401-f-INR" TargetMode="External" Id="rId73"/><Relationship Type="http://schemas.openxmlformats.org/officeDocument/2006/relationships/hyperlink" Target="https://www.bigmint.co/prices/ferrous/iron-ore/pellets" TargetMode="External" Id="rId74"/><Relationship Type="http://schemas.openxmlformats.org/officeDocument/2006/relationships/hyperlink" Target="https://www.bigmint.co/prices/detail/pellet-index-pellex-dap-raipur-india-1401-f-INR" TargetMode="External" Id="rId75"/><Relationship Type="http://schemas.openxmlformats.org/officeDocument/2006/relationships/hyperlink" Target="https://www.bigmint.co/prices/ferrous/steel/hrc" TargetMode="External" Id="rId76"/><Relationship Type="http://schemas.openxmlformats.org/officeDocument/2006/relationships/hyperlink" Target="https://www.bigmint.co/prices/detail/hrc-exy-mumbai-india-1234-f-INR" TargetMode="External" Id="rId77"/><Relationship Type="http://schemas.openxmlformats.org/officeDocument/2006/relationships/hyperlink" Target="https://www.bigmint.co/prices/detail/hrc-exy-mumbai-india-1234-f-INR" TargetMode="External" Id="rId78"/><Relationship Type="http://schemas.openxmlformats.org/officeDocument/2006/relationships/hyperlink" Target="https://www.bigmint.co/prices/ferrous/steel/hrc" TargetMode="External" Id="rId79"/><Relationship Type="http://schemas.openxmlformats.org/officeDocument/2006/relationships/hyperlink" Target="https://www.bigmint.co/prices/detail/hrc-exy-mumbai-india-1234-f-INR" TargetMode="External" Id="rId80"/><Relationship Type="http://schemas.openxmlformats.org/officeDocument/2006/relationships/hyperlink" Target="https://www.bigmint.co/prices/ferrous/steel/crc" TargetMode="External" Id="rId81"/><Relationship Type="http://schemas.openxmlformats.org/officeDocument/2006/relationships/hyperlink" Target="https://www.bigmint.co/prices/detail/crc-exy-mumbai-india-1243-f-INR" TargetMode="External" Id="rId82"/><Relationship Type="http://schemas.openxmlformats.org/officeDocument/2006/relationships/hyperlink" Target="https://www.bigmint.co/prices/detail/crc-exy-mumbai-india-1243-f-INR" TargetMode="External" Id="rId83"/><Relationship Type="http://schemas.openxmlformats.org/officeDocument/2006/relationships/hyperlink" Target="https://www.bigmint.co/prices/ferrous/steel/crc" TargetMode="External" Id="rId84"/><Relationship Type="http://schemas.openxmlformats.org/officeDocument/2006/relationships/hyperlink" Target="https://www.bigmint.co/prices/detail/crc-exy-mumbai-india-1243-f-INR" TargetMode="External" Id="rId85"/><Relationship Type="http://schemas.openxmlformats.org/officeDocument/2006/relationships/hyperlink" Target="https://www.bigmint.co/prices/ferrous/steel/hr-plate" TargetMode="External" Id="rId86"/><Relationship Type="http://schemas.openxmlformats.org/officeDocument/2006/relationships/hyperlink" Target="https://www.bigmint.co/prices/detail/hr-plate-exy-mumbai-india-1496-f-INR" TargetMode="External" Id="rId87"/><Relationship Type="http://schemas.openxmlformats.org/officeDocument/2006/relationships/hyperlink" Target="https://www.bigmint.co/prices/detail/hr-plate-exy-mumbai-india-1496-f-INR" TargetMode="External" Id="rId88"/><Relationship Type="http://schemas.openxmlformats.org/officeDocument/2006/relationships/hyperlink" Target="https://www.bigmint.co/prices/ferrous/steel/hr-plate" TargetMode="External" Id="rId89"/><Relationship Type="http://schemas.openxmlformats.org/officeDocument/2006/relationships/hyperlink" Target="https://www.bigmint.co/prices/detail/hr-plate-exy-mumbai-india-1496-f-INR" TargetMode="External" Id="rId90"/><Relationship Type="http://schemas.openxmlformats.org/officeDocument/2006/relationships/hyperlink" Target="https://www.bigmint.co/prices/ferrous/steel/gp" TargetMode="External" Id="rId91"/><Relationship Type="http://schemas.openxmlformats.org/officeDocument/2006/relationships/hyperlink" Target="https://www.bigmint.co/prices/detail/gp-exy-mumbai-india-1678-f-INR" TargetMode="External" Id="rId92"/><Relationship Type="http://schemas.openxmlformats.org/officeDocument/2006/relationships/hyperlink" Target="https://www.bigmint.co/prices/detail/gp-exy-mumbai-india-1678-f-INR" TargetMode="External" Id="rId93"/><Relationship Type="http://schemas.openxmlformats.org/officeDocument/2006/relationships/hyperlink" Target="https://www.bigmint.co/prices/ferrous/steel/gp" TargetMode="External" Id="rId94"/><Relationship Type="http://schemas.openxmlformats.org/officeDocument/2006/relationships/hyperlink" Target="https://www.bigmint.co/prices/detail/gp-exy-mumbai-india-1678-f-INR" TargetMode="External" Id="rId95"/><Relationship Type="http://schemas.openxmlformats.org/officeDocument/2006/relationships/hyperlink" Target="https://www.bigmint.co/prices/ferrous/steel/pipes" TargetMode="External" Id="rId96"/><Relationship Type="http://schemas.openxmlformats.org/officeDocument/2006/relationships/hyperlink" Target="https://www.bigmint.co/prices/detail/erw-pipe-hr-coil-based-exy-mumbai-india-1475-f-INR" TargetMode="External" Id="rId97"/><Relationship Type="http://schemas.openxmlformats.org/officeDocument/2006/relationships/hyperlink" Target="https://www.bigmint.co/prices/detail/erw-pipe-hr-coil-based-exy-mumbai-india-1475-f-INR" TargetMode="External" Id="rId98"/><Relationship Type="http://schemas.openxmlformats.org/officeDocument/2006/relationships/hyperlink" Target="https://www.bigmint.co/prices/ferrous/steel/pipes" TargetMode="External" Id="rId99"/><Relationship Type="http://schemas.openxmlformats.org/officeDocument/2006/relationships/hyperlink" Target="https://www.bigmint.co/prices/detail/erw-pipe-hr-coil-based-exy-mumbai-india-1475-f-INR" TargetMode="External" Id="rId100"/><Relationship Type="http://schemas.openxmlformats.org/officeDocument/2006/relationships/hyperlink" Target="https://www.bigmint.co/prices/ferrous/steel/pipes" TargetMode="External" Id="rId101"/><Relationship Type="http://schemas.openxmlformats.org/officeDocument/2006/relationships/hyperlink" Target="https://www.bigmint.co/prices/detail/erw-pipe-hr-coil-based-exy-delhi-india-1426-f-INR" TargetMode="External" Id="rId102"/><Relationship Type="http://schemas.openxmlformats.org/officeDocument/2006/relationships/hyperlink" Target="https://www.bigmint.co/prices/detail/erw-pipe-hr-coil-based-exy-delhi-india-1426-f-INR" TargetMode="External" Id="rId103"/><Relationship Type="http://schemas.openxmlformats.org/officeDocument/2006/relationships/hyperlink" Target="https://www.bigmint.co/prices/ferrous/steel/pipes" TargetMode="External" Id="rId104"/><Relationship Type="http://schemas.openxmlformats.org/officeDocument/2006/relationships/hyperlink" Target="https://www.bigmint.co/prices/detail/erw-pipe-hr-coil-based-exy-delhi-india-1426-f-INR" TargetMode="External" Id="rId105"/><Relationship Type="http://schemas.openxmlformats.org/officeDocument/2006/relationships/hyperlink" Target="https://www.bigmint.co/prices/detail/galvalume-exy-mumbai-india-1521-f-INR" TargetMode="External" Id="rId106"/><Relationship Type="http://schemas.openxmlformats.org/officeDocument/2006/relationships/hyperlink" Target="https://www.bigmint.co/prices/detail/galvalume-exy-mumbai-india-1518-f-INR" TargetMode="External" Id="rId107"/><Relationship Type="http://schemas.openxmlformats.org/officeDocument/2006/relationships/hyperlink" Target="https://www.bigmint.co/prices/detail/ppgi-exy-mumbai-india-1369-f-INR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AN39"/>
  <sheetViews>
    <sheetView tabSelected="1" zoomScale="58" workbookViewId="0">
      <pane xSplit="4" topLeftCell="E1" activePane="topRight" state="frozen"/>
      <selection pane="topRight" activeCell="V16" sqref="V16"/>
    </sheetView>
  </sheetViews>
  <sheetFormatPr baseColWidth="8" defaultRowHeight="15.6"/>
  <cols>
    <col width="51.5546875" bestFit="1" customWidth="1" min="1" max="1"/>
    <col width="14" customWidth="1" min="2" max="2"/>
    <col width="9.21875" customWidth="1" min="3" max="3"/>
    <col width="8.33203125" customWidth="1" min="4" max="16"/>
    <col width="10.21875" customWidth="1" min="17" max="21"/>
    <col width="10.21875" customWidth="1" style="12" min="22" max="26"/>
    <col width="9.5546875" customWidth="1" style="72" min="27" max="34"/>
    <col width="14.21875" customWidth="1" style="72" min="35" max="35"/>
    <col width="69.21875" bestFit="1" customWidth="1" style="10" min="36" max="36"/>
    <col width="78.5546875" bestFit="1" customWidth="1" min="37" max="37"/>
    <col hidden="1" width="43.33203125" customWidth="1" min="38" max="39"/>
    <col width="10.6640625" bestFit="1" customWidth="1" min="40" max="40"/>
  </cols>
  <sheetData>
    <row r="1" ht="48" customFormat="1" customHeight="1" s="39">
      <c r="A1" s="34" t="inlineStr">
        <is>
          <t>Material</t>
        </is>
      </c>
      <c r="B1" s="34" t="inlineStr">
        <is>
          <t>Link (T-1 Prices)</t>
        </is>
      </c>
      <c r="C1" s="34" t="inlineStr">
        <is>
          <t>Link (Monthly Average)</t>
        </is>
      </c>
      <c r="D1" s="35" t="n"/>
      <c r="E1" s="36" t="inlineStr">
        <is>
          <t>April'24</t>
        </is>
      </c>
      <c r="F1" s="36" t="inlineStr">
        <is>
          <t>May'24</t>
        </is>
      </c>
      <c r="G1" s="35" t="inlineStr">
        <is>
          <t>June'24</t>
        </is>
      </c>
      <c r="H1" s="35" t="inlineStr">
        <is>
          <t>July'24</t>
        </is>
      </c>
      <c r="I1" s="35" t="inlineStr">
        <is>
          <t>Aug'24</t>
        </is>
      </c>
      <c r="J1" s="35" t="inlineStr">
        <is>
          <t>Sept'24</t>
        </is>
      </c>
      <c r="K1" s="35" t="inlineStr">
        <is>
          <t>Oct'24</t>
        </is>
      </c>
      <c r="L1" s="35" t="inlineStr">
        <is>
          <t>Nov'24</t>
        </is>
      </c>
      <c r="M1" s="35" t="inlineStr">
        <is>
          <t>Dec'24</t>
        </is>
      </c>
      <c r="N1" s="35" t="inlineStr">
        <is>
          <t>Jan'25</t>
        </is>
      </c>
      <c r="O1" s="35" t="inlineStr">
        <is>
          <t>Feb'25</t>
        </is>
      </c>
      <c r="P1" s="35" t="inlineStr">
        <is>
          <t>March'25</t>
        </is>
      </c>
      <c r="Q1" s="36" t="inlineStr">
        <is>
          <t>April'25</t>
        </is>
      </c>
      <c r="R1" s="36" t="inlineStr">
        <is>
          <t>May'25</t>
        </is>
      </c>
      <c r="S1" s="36" t="inlineStr">
        <is>
          <t>June"25</t>
        </is>
      </c>
      <c r="T1" s="36" t="inlineStr">
        <is>
          <t>July"25</t>
        </is>
      </c>
      <c r="U1" s="36" t="inlineStr">
        <is>
          <t>Aug' 25</t>
        </is>
      </c>
      <c r="V1" s="36" t="inlineStr">
        <is>
          <t>Sept' 25</t>
        </is>
      </c>
      <c r="W1" s="36" t="inlineStr">
        <is>
          <t>Oct'25</t>
        </is>
      </c>
      <c r="X1" s="36" t="inlineStr">
        <is>
          <t>Nov'25</t>
        </is>
      </c>
      <c r="Y1" s="36" t="inlineStr">
        <is>
          <t>Dec'25</t>
        </is>
      </c>
      <c r="Z1" s="36" t="inlineStr">
        <is>
          <t>Jan'26</t>
        </is>
      </c>
      <c r="AA1" s="36" t="inlineStr">
        <is>
          <t>Feb'26</t>
        </is>
      </c>
      <c r="AB1" s="36" t="inlineStr">
        <is>
          <t>Mar'26</t>
        </is>
      </c>
      <c r="AC1" s="36" t="inlineStr">
        <is>
          <t>April'26</t>
        </is>
      </c>
      <c r="AD1" s="36" t="inlineStr">
        <is>
          <t>May'26</t>
        </is>
      </c>
      <c r="AE1" s="36" t="inlineStr">
        <is>
          <t>June'26</t>
        </is>
      </c>
      <c r="AF1" s="36" t="inlineStr">
        <is>
          <t>July'26</t>
        </is>
      </c>
      <c r="AG1" s="36" t="inlineStr">
        <is>
          <t>Aug'26</t>
        </is>
      </c>
      <c r="AH1" s="36" t="inlineStr">
        <is>
          <t>Sept'26</t>
        </is>
      </c>
      <c r="AI1" s="73" t="inlineStr">
        <is>
          <t xml:space="preserve">Current </t>
        </is>
      </c>
      <c r="AJ1" s="38" t="inlineStr">
        <is>
          <t>Link (Monthly Average)</t>
        </is>
      </c>
      <c r="AK1" s="34" t="inlineStr">
        <is>
          <t>url</t>
        </is>
      </c>
      <c r="AL1" s="34" t="inlineStr">
        <is>
          <t>Link (T-1 Prices)</t>
        </is>
      </c>
      <c r="AM1" s="34" t="inlineStr">
        <is>
          <t>Link (Monthly Average)</t>
        </is>
      </c>
      <c r="AN1" s="38" t="n"/>
    </row>
    <row r="2">
      <c r="A2" s="2" t="inlineStr">
        <is>
          <t>Pig Iron(Raipur)(SG)</t>
        </is>
      </c>
      <c r="B2" s="3" t="inlineStr">
        <is>
          <t>Pig Iron Prices – Daily Market Rates &amp; Trends | BigMint</t>
        </is>
      </c>
      <c r="C2" s="3" t="inlineStr">
        <is>
          <t>Pig Iron, DAP-Raipur, India | BigMint</t>
        </is>
      </c>
      <c r="D2" s="1" t="n"/>
      <c r="E2" s="31" t="n">
        <v>40032.69</v>
      </c>
      <c r="F2" s="31" t="n">
        <v>42674.07</v>
      </c>
      <c r="G2" s="31" t="n">
        <v>39478</v>
      </c>
      <c r="H2" s="31" t="n">
        <v>38025.93</v>
      </c>
      <c r="I2" s="31" t="n">
        <v>36812</v>
      </c>
      <c r="J2" s="31" t="n">
        <v>36724</v>
      </c>
      <c r="K2" s="31" t="n">
        <v>38275</v>
      </c>
      <c r="L2" s="31" t="n">
        <v>34677.08</v>
      </c>
      <c r="M2" s="31" t="n">
        <v>32498</v>
      </c>
      <c r="N2" s="31" t="n">
        <v>32537.04</v>
      </c>
      <c r="O2" s="31" t="n">
        <v>33358.33</v>
      </c>
      <c r="P2" s="31" t="n">
        <v>35887.5</v>
      </c>
      <c r="Q2" s="4" t="n">
        <v>35834.6</v>
      </c>
      <c r="R2" s="4" t="n">
        <v>33538</v>
      </c>
      <c r="S2" s="4" t="n">
        <v>32810</v>
      </c>
      <c r="T2" s="4" t="n">
        <v>32987</v>
      </c>
      <c r="U2" s="4" t="n">
        <v>33672</v>
      </c>
      <c r="V2" s="5" t="n">
        <v>33092</v>
      </c>
      <c r="W2" s="5" t="n">
        <v>32255</v>
      </c>
      <c r="X2" s="5" t="n">
        <v>32388</v>
      </c>
      <c r="Y2" s="5" t="n">
        <v>33023</v>
      </c>
      <c r="Z2" s="5" t="n">
        <v>37477</v>
      </c>
      <c r="AA2" s="4" t="n">
        <v>38167</v>
      </c>
      <c r="AB2" s="4" t="n">
        <v>37790</v>
      </c>
      <c r="AC2" s="4" t="n">
        <v>39498</v>
      </c>
      <c r="AD2" s="4" t="n">
        <v>39017</v>
      </c>
      <c r="AE2" s="4" t="n">
        <v>37429</v>
      </c>
      <c r="AF2" s="4" t="n">
        <v>38205.77</v>
      </c>
      <c r="AG2" s="4" t="n">
        <v>38981.25</v>
      </c>
      <c r="AH2" s="4" t="n">
        <v>40275</v>
      </c>
      <c r="AI2" s="4" t="n">
        <v>40400</v>
      </c>
      <c r="AJ2" s="6" t="inlineStr">
        <is>
          <t>Pig Iron, DAP-Raipur, India | BigMint</t>
        </is>
      </c>
      <c r="AK2" s="7" t="inlineStr">
        <is>
          <t>https://www.bigmint.co/prices/detail/pig-iron-dap-raipur-india-1102-f-INR</t>
        </is>
      </c>
      <c r="AL2" s="7" t="inlineStr">
        <is>
          <t>Pig Iron Prices – Daily Market Rates &amp; Trends | BigMint</t>
        </is>
      </c>
      <c r="AM2" s="7" t="inlineStr">
        <is>
          <t>Pig Iron, DAP-Raipur, India | BigMint</t>
        </is>
      </c>
    </row>
    <row r="3">
      <c r="A3" s="2" t="inlineStr">
        <is>
          <t>Pig Iron(ludhiana-SG)</t>
        </is>
      </c>
      <c r="B3" s="3" t="inlineStr">
        <is>
          <t>Pig Iron Prices – Daily Market Rates &amp; Trends | BigMint</t>
        </is>
      </c>
      <c r="C3" s="3" t="inlineStr">
        <is>
          <t>Pig Iron, DAP-Ludhiana, India | BigMint</t>
        </is>
      </c>
      <c r="D3" s="1" t="n"/>
      <c r="E3" s="31" t="n">
        <v>41280.77</v>
      </c>
      <c r="F3" s="31" t="n">
        <v>43303.7</v>
      </c>
      <c r="G3" s="31" t="n">
        <v>41458.33</v>
      </c>
      <c r="H3" s="31" t="n">
        <v>40527.78</v>
      </c>
      <c r="I3" s="31" t="n">
        <v>39998</v>
      </c>
      <c r="J3" s="31" t="n">
        <v>38638</v>
      </c>
      <c r="K3" s="31" t="n">
        <v>39679.17</v>
      </c>
      <c r="L3" s="31" t="n">
        <v>38268.75</v>
      </c>
      <c r="M3" s="31" t="n">
        <v>36324</v>
      </c>
      <c r="N3" s="31" t="n">
        <v>35575.93</v>
      </c>
      <c r="O3" s="31" t="n">
        <v>36418.75</v>
      </c>
      <c r="P3" s="31" t="n">
        <v>38689.58</v>
      </c>
      <c r="Q3" s="4" t="n">
        <v>38457</v>
      </c>
      <c r="R3" s="4" t="n">
        <v>36253</v>
      </c>
      <c r="S3" s="4" t="n">
        <v>35856</v>
      </c>
      <c r="T3" s="4" t="n">
        <v>35422</v>
      </c>
      <c r="U3" s="4" t="n">
        <v>35737</v>
      </c>
      <c r="V3" s="5" t="n">
        <v>35221</v>
      </c>
      <c r="W3" s="5" t="n">
        <v>34707</v>
      </c>
      <c r="X3" s="5" t="n">
        <v>35044</v>
      </c>
      <c r="Y3" s="5" t="n">
        <v>35413</v>
      </c>
      <c r="Z3" s="5" t="n">
        <v>39548</v>
      </c>
      <c r="AA3" s="4" t="n">
        <v>40211</v>
      </c>
      <c r="AB3" s="4" t="n">
        <v>40060</v>
      </c>
      <c r="AC3" s="4" t="n">
        <v>42584</v>
      </c>
      <c r="AD3" s="4" t="n">
        <v>42265</v>
      </c>
      <c r="AE3" s="4" t="n">
        <v>41696</v>
      </c>
      <c r="AF3" s="4" t="n">
        <v>40644.23</v>
      </c>
      <c r="AG3" s="4" t="n">
        <v>41072.92</v>
      </c>
      <c r="AH3" s="4" t="n">
        <v>42072.73</v>
      </c>
      <c r="AI3" s="4" t="n">
        <v>42400</v>
      </c>
      <c r="AJ3" s="8" t="inlineStr">
        <is>
          <t>Pig Iron, DAP-Ludhiana, India | BigMint</t>
        </is>
      </c>
      <c r="AK3" s="7" t="inlineStr">
        <is>
          <t>https://www.bigmint.co/prices/detail/pig-iron-dap-ludhiana-india-1100-f-INR</t>
        </is>
      </c>
      <c r="AL3" s="7" t="inlineStr">
        <is>
          <t>Pig Iron Prices – Daily Market Rates &amp; Trends | BigMint</t>
        </is>
      </c>
      <c r="AM3" s="7" t="inlineStr">
        <is>
          <t>Pig Iron, DAP-Ludhiana, India | BigMint</t>
        </is>
      </c>
    </row>
    <row r="4">
      <c r="A4" s="2" t="inlineStr">
        <is>
          <t>Pig Iron(Durgapur SG)</t>
        </is>
      </c>
      <c r="B4" s="3" t="inlineStr">
        <is>
          <t>Pig Iron Prices – Daily Market Rates &amp; Trends | BigMint</t>
        </is>
      </c>
      <c r="C4" s="3" t="inlineStr">
        <is>
          <t>Pig Iron, Exw-Durgapur, India | BigMint</t>
        </is>
      </c>
      <c r="D4" s="1" t="n"/>
      <c r="E4" s="31" t="n">
        <v>40659.62</v>
      </c>
      <c r="F4" s="31" t="n">
        <v>42677.78</v>
      </c>
      <c r="G4" s="31" t="n">
        <v>38818</v>
      </c>
      <c r="H4" s="31" t="n">
        <v>37714.81</v>
      </c>
      <c r="I4" s="31" t="n">
        <v>36776</v>
      </c>
      <c r="J4" s="31" t="n">
        <v>36560</v>
      </c>
      <c r="K4" s="31" t="n">
        <v>39334.09</v>
      </c>
      <c r="L4" s="31" t="n">
        <v>35364</v>
      </c>
      <c r="M4" s="31" t="n">
        <v>33280</v>
      </c>
      <c r="N4" s="31" t="n">
        <v>33411.11</v>
      </c>
      <c r="O4" s="31" t="n">
        <v>33002.08</v>
      </c>
      <c r="P4" s="31" t="n">
        <v>35764.58</v>
      </c>
      <c r="Q4" s="4" t="n">
        <v>35128</v>
      </c>
      <c r="R4" s="4" t="n">
        <v>32914</v>
      </c>
      <c r="S4" s="4" t="n">
        <v>32378</v>
      </c>
      <c r="T4" s="4" t="n">
        <v>32461</v>
      </c>
      <c r="U4" s="4" t="n">
        <v>32583</v>
      </c>
      <c r="V4" s="5" t="n">
        <v>32494</v>
      </c>
      <c r="W4" s="5" t="n">
        <v>31645</v>
      </c>
      <c r="X4" s="5" t="n">
        <v>32204</v>
      </c>
      <c r="Y4" s="5" t="n">
        <v>32710</v>
      </c>
      <c r="Z4" s="5" t="n">
        <v>37254</v>
      </c>
      <c r="AA4" s="4" t="n">
        <v>38444</v>
      </c>
      <c r="AB4" s="4" t="n">
        <v>37923</v>
      </c>
      <c r="AC4" s="4" t="n">
        <v>40240</v>
      </c>
      <c r="AD4" s="4" t="n">
        <v>38348</v>
      </c>
      <c r="AE4" s="4" t="n">
        <v>37862</v>
      </c>
      <c r="AF4" s="4" t="n">
        <v>37819.23</v>
      </c>
      <c r="AG4" s="4" t="n">
        <v>38660.42</v>
      </c>
      <c r="AH4" s="4" t="n">
        <v>40263.64</v>
      </c>
      <c r="AI4" s="4" t="n">
        <v>41550</v>
      </c>
      <c r="AJ4" s="6" t="inlineStr">
        <is>
          <t>Pig Iron, Exw-Durgapur, India | BigMint</t>
        </is>
      </c>
      <c r="AK4" s="7" t="inlineStr">
        <is>
          <t>https://www.bigmint.co/prices/detail/pig-iron-exw-durgapur-india-1096-f-INR</t>
        </is>
      </c>
      <c r="AL4" s="7" t="inlineStr">
        <is>
          <t>Pig Iron Prices – Daily Market Rates &amp; Trends | BigMint</t>
        </is>
      </c>
      <c r="AM4" s="7" t="inlineStr">
        <is>
          <t>Pig Iron, Exw-Durgapur, India | BigMint</t>
        </is>
      </c>
    </row>
    <row r="5">
      <c r="A5" s="2" t="inlineStr">
        <is>
          <t>Pig Iron(Hyderabad SG)</t>
        </is>
      </c>
      <c r="B5" s="3" t="inlineStr">
        <is>
          <t>Pig Iron Prices – Daily Market Rates &amp; Trends | BigMint</t>
        </is>
      </c>
      <c r="C5" s="3" t="inlineStr">
        <is>
          <t>Pig Iron, DAP-Hyderabad, India | BigMint</t>
        </is>
      </c>
      <c r="D5" s="1" t="n"/>
      <c r="E5" s="1" t="n">
        <v>39188.46</v>
      </c>
      <c r="F5" s="1" t="n">
        <v>42151.85</v>
      </c>
      <c r="G5" s="1" t="n">
        <v>39488</v>
      </c>
      <c r="H5" s="1" t="n">
        <v>38329.63</v>
      </c>
      <c r="I5" s="1" t="n">
        <v>38140</v>
      </c>
      <c r="J5" s="1" t="n">
        <v>37552</v>
      </c>
      <c r="K5" s="1" t="n">
        <v>38362.5</v>
      </c>
      <c r="L5" s="1" t="n">
        <v>36580</v>
      </c>
      <c r="M5" s="1" t="n">
        <v>33742</v>
      </c>
      <c r="N5" s="1" t="n">
        <v>33300</v>
      </c>
      <c r="O5" s="1" t="n">
        <v>33812.5</v>
      </c>
      <c r="P5" s="1" t="n">
        <v>35570.83</v>
      </c>
      <c r="Q5" s="4" t="n">
        <v>36676</v>
      </c>
      <c r="R5" s="4" t="n">
        <v>35337</v>
      </c>
      <c r="S5" s="4" t="n">
        <v>33864</v>
      </c>
      <c r="T5" s="4" t="n">
        <v>33280</v>
      </c>
      <c r="U5" s="4" t="n">
        <v>32883</v>
      </c>
      <c r="V5" s="5" t="n">
        <v>32746</v>
      </c>
      <c r="W5" s="5" t="n">
        <v>32273</v>
      </c>
      <c r="X5" s="5" t="n">
        <v>32908</v>
      </c>
      <c r="Y5" s="5" t="n">
        <v>33008</v>
      </c>
      <c r="Z5" s="5" t="n">
        <v>37460</v>
      </c>
      <c r="AA5" s="4" t="n">
        <v>37811</v>
      </c>
      <c r="AB5" s="4" t="n">
        <v>37571</v>
      </c>
      <c r="AC5" s="4" t="n">
        <v>39124</v>
      </c>
      <c r="AD5" s="4" t="n">
        <v>38311</v>
      </c>
      <c r="AE5" s="4" t="n">
        <v>37127</v>
      </c>
      <c r="AF5" s="4" t="n">
        <v>37442.31</v>
      </c>
      <c r="AG5" s="4" t="n">
        <v>38862.5</v>
      </c>
      <c r="AH5" s="4" t="n">
        <v>40236.36</v>
      </c>
      <c r="AI5" s="4" t="n">
        <v>41000</v>
      </c>
      <c r="AJ5" s="8" t="inlineStr">
        <is>
          <t>Pig Iron, DAP-Hyderabad, India | BigMint</t>
        </is>
      </c>
      <c r="AK5" s="7" t="inlineStr">
        <is>
          <t>https://www.bigmint.co/prices/detail/pig-iron-dap-hyderabad-india-1098-f-INR</t>
        </is>
      </c>
      <c r="AL5" s="7" t="inlineStr">
        <is>
          <t>Pig Iron Prices – Daily Market Rates &amp; Trends | BigMint</t>
        </is>
      </c>
      <c r="AM5" s="7" t="inlineStr">
        <is>
          <t>Pig Iron, DAP-Hyderabad, India | BigMint</t>
        </is>
      </c>
    </row>
    <row r="6">
      <c r="A6" s="2" t="inlineStr">
        <is>
          <t>Pig Iron(ludhiana-FG)</t>
        </is>
      </c>
      <c r="B6" s="3" t="inlineStr">
        <is>
          <t>Pig Iron Prices – Daily Market Rates &amp; Trends | BigMint</t>
        </is>
      </c>
      <c r="C6" s="3" t="inlineStr">
        <is>
          <t>Pig Iron, DAP-Ludhiana, India | BigMint</t>
        </is>
      </c>
      <c r="D6" s="1" t="n"/>
      <c r="E6" s="1" t="n">
        <v>44919.23</v>
      </c>
      <c r="F6" s="1" t="n">
        <v>46353.85</v>
      </c>
      <c r="G6" s="1" t="n">
        <v>45012.5</v>
      </c>
      <c r="H6" s="1" t="n">
        <v>43366.67</v>
      </c>
      <c r="I6" s="1" t="n">
        <v>43736</v>
      </c>
      <c r="J6" s="1" t="n">
        <v>42672</v>
      </c>
      <c r="K6" s="1" t="n">
        <v>42762.5</v>
      </c>
      <c r="L6" s="1" t="n">
        <v>41108.33</v>
      </c>
      <c r="M6" s="1" t="n">
        <v>40016</v>
      </c>
      <c r="N6" s="1" t="n">
        <v>38700</v>
      </c>
      <c r="O6" s="1" t="n">
        <v>39004.17</v>
      </c>
      <c r="P6" s="1" t="n">
        <v>41917.39</v>
      </c>
      <c r="Q6" s="4" t="n">
        <v>42142</v>
      </c>
      <c r="R6" s="4" t="n">
        <v>39618</v>
      </c>
      <c r="S6" s="4" t="n">
        <v>38356</v>
      </c>
      <c r="T6" s="4" t="n">
        <v>38228</v>
      </c>
      <c r="U6" s="4" t="n">
        <v>38800</v>
      </c>
      <c r="V6" s="5" t="n">
        <v>38177</v>
      </c>
      <c r="W6" s="5" t="n">
        <v>37286</v>
      </c>
      <c r="X6" s="5" t="n">
        <v>38096</v>
      </c>
      <c r="Y6" s="5" t="n">
        <v>38096</v>
      </c>
      <c r="Z6" s="5" t="n">
        <v>41727</v>
      </c>
      <c r="AA6" s="4" t="n">
        <v>42628</v>
      </c>
      <c r="AB6" s="4" t="n">
        <v>43192</v>
      </c>
      <c r="AC6" s="4" t="n">
        <v>45324</v>
      </c>
      <c r="AD6" s="4" t="n">
        <v>44458</v>
      </c>
      <c r="AE6" s="4" t="n">
        <v>45644</v>
      </c>
      <c r="AF6" s="4" t="n">
        <v>45592.31</v>
      </c>
      <c r="AG6" s="4" t="n">
        <v>47266.67</v>
      </c>
      <c r="AH6" s="4" t="n">
        <v>47181.82</v>
      </c>
      <c r="AI6" s="4" t="n">
        <v>47000</v>
      </c>
      <c r="AJ6" s="9" t="inlineStr">
        <is>
          <t>Pig Iron, DAP-Ludhiana, India | BigMint</t>
        </is>
      </c>
      <c r="AK6" s="7" t="inlineStr">
        <is>
          <t>https://www.bigmint.co/prices/detail/pig-iron-dap-ludhiana-india-1108-f-INR</t>
        </is>
      </c>
      <c r="AL6" s="7" t="inlineStr">
        <is>
          <t>Pig Iron Prices – Daily Market Rates &amp; Trends | BigMint</t>
        </is>
      </c>
      <c r="AM6" s="7" t="inlineStr">
        <is>
          <t>Pig Iron, DAP-Ludhiana, India | BigMint</t>
        </is>
      </c>
    </row>
    <row r="7">
      <c r="A7" s="2" t="inlineStr">
        <is>
          <t>Pig Iron(Durgapur FG)</t>
        </is>
      </c>
      <c r="B7" s="3" t="inlineStr">
        <is>
          <t>Pig Iron Prices – Daily Market Rates &amp; Trends | BigMint</t>
        </is>
      </c>
      <c r="C7" s="3" t="inlineStr">
        <is>
          <t>Pig Iron, Exw-Durgapur, India | BigMint</t>
        </is>
      </c>
      <c r="D7" s="1" t="n"/>
      <c r="E7" s="1" t="n">
        <v>43961.54</v>
      </c>
      <c r="F7" s="1" t="n">
        <v>46384.62</v>
      </c>
      <c r="G7" s="1" t="n">
        <v>45060</v>
      </c>
      <c r="H7" s="1" t="n">
        <v>43611.11</v>
      </c>
      <c r="I7" s="1" t="n">
        <v>42300</v>
      </c>
      <c r="J7" s="1" t="n">
        <v>41500</v>
      </c>
      <c r="K7" s="1" t="n">
        <v>42409.09</v>
      </c>
      <c r="L7" s="32" t="n">
        <v>41100</v>
      </c>
      <c r="M7" s="1" t="n">
        <v>38740</v>
      </c>
      <c r="N7" s="1" t="n">
        <v>37500</v>
      </c>
      <c r="O7" s="1" t="n">
        <v>37500</v>
      </c>
      <c r="P7" s="1" t="n">
        <v>38978.26</v>
      </c>
      <c r="Q7" s="4" t="n">
        <v>40000</v>
      </c>
      <c r="R7" s="4" t="n">
        <v>29251</v>
      </c>
      <c r="S7" s="4" t="n">
        <v>37250</v>
      </c>
      <c r="T7" s="4" t="n">
        <v>37628</v>
      </c>
      <c r="U7" s="4" t="n">
        <v>38000</v>
      </c>
      <c r="V7" s="5" t="n">
        <v>37087</v>
      </c>
      <c r="W7" s="5" t="n">
        <v>37000</v>
      </c>
      <c r="X7" s="5" t="inlineStr">
        <is>
          <t xml:space="preserve"> 37,000</t>
        </is>
      </c>
      <c r="Y7" s="5" t="n">
        <v>37000</v>
      </c>
      <c r="Z7" s="5" t="n">
        <v>40000</v>
      </c>
      <c r="AA7" s="4" t="n">
        <v>41500</v>
      </c>
      <c r="AB7" s="4" t="n">
        <v>41500</v>
      </c>
      <c r="AC7" s="4" t="n">
        <v>44580</v>
      </c>
      <c r="AD7" s="4" t="n">
        <v>44308</v>
      </c>
      <c r="AE7" s="4" t="n">
        <v>43360</v>
      </c>
      <c r="AF7" s="4" t="n">
        <v>43000</v>
      </c>
      <c r="AG7" s="4" t="n">
        <v>44208.33</v>
      </c>
      <c r="AH7" s="4" t="n">
        <v>45000</v>
      </c>
      <c r="AI7" s="4" t="n">
        <v>45000</v>
      </c>
      <c r="AJ7" s="30" t="inlineStr">
        <is>
          <t>Pig Iron, Exw-Durgapur, India | BigMint</t>
        </is>
      </c>
      <c r="AK7" s="7" t="inlineStr">
        <is>
          <t>https://www.bigmint.co/prices/detail/pig-iron-exw-durgapur-india-1105-f-INR</t>
        </is>
      </c>
      <c r="AL7" s="7" t="inlineStr">
        <is>
          <t>Pig Iron Prices – Daily Market Rates &amp; Trends | BigMint</t>
        </is>
      </c>
      <c r="AM7" s="7" t="inlineStr">
        <is>
          <t>Pig Iron, Exw-Durgapur, India | BigMint</t>
        </is>
      </c>
    </row>
    <row r="8">
      <c r="A8" s="2" t="inlineStr">
        <is>
          <t>End Cutting(Raipur)</t>
        </is>
      </c>
      <c r="B8" s="3" t="inlineStr">
        <is>
          <t>Melting Scrap Prices – Live Market Updates | BigMint</t>
        </is>
      </c>
      <c r="C8" s="3" t="inlineStr">
        <is>
          <t>Melting Scrap, DAP-Raipur, India | BigMint</t>
        </is>
      </c>
      <c r="D8" s="1" t="n"/>
      <c r="E8" s="1" t="n">
        <v>38421.15</v>
      </c>
      <c r="F8" s="1" t="n">
        <v>40285.19</v>
      </c>
      <c r="G8" s="1" t="n">
        <v>38964</v>
      </c>
      <c r="H8" s="1" t="n">
        <v>37259.26</v>
      </c>
      <c r="I8" s="1" t="n">
        <v>36046</v>
      </c>
      <c r="J8" s="1" t="n">
        <v>35558</v>
      </c>
      <c r="K8" s="1" t="n">
        <v>37041.67</v>
      </c>
      <c r="L8" s="1" t="n">
        <v>35408.33</v>
      </c>
      <c r="M8" s="1" t="n">
        <v>34130</v>
      </c>
      <c r="N8" s="1" t="n">
        <v>34490.74</v>
      </c>
      <c r="O8" s="1" t="n">
        <v>34550</v>
      </c>
      <c r="P8" s="1" t="n">
        <v>35764.58</v>
      </c>
      <c r="Q8" s="4" t="n">
        <v>35778</v>
      </c>
      <c r="R8" s="4" t="n">
        <v>34183</v>
      </c>
      <c r="S8" s="4" t="n">
        <v>33718</v>
      </c>
      <c r="T8" s="4" t="n">
        <v>33058</v>
      </c>
      <c r="U8" s="4" t="n">
        <v>33691</v>
      </c>
      <c r="V8" s="5" t="n">
        <v>33958</v>
      </c>
      <c r="W8" s="5" t="n">
        <v>32732</v>
      </c>
      <c r="X8" s="5" t="n">
        <v>33016</v>
      </c>
      <c r="Y8" s="5" t="n">
        <v>33498</v>
      </c>
      <c r="Z8" s="5" t="n">
        <v>35733</v>
      </c>
      <c r="AA8" s="4" t="n">
        <v>36389</v>
      </c>
      <c r="AB8" s="4" t="n">
        <v>36997</v>
      </c>
      <c r="AC8" s="4" t="n">
        <v>37844</v>
      </c>
      <c r="AD8" s="4" t="n">
        <v>37096</v>
      </c>
      <c r="AE8" s="4" t="n">
        <v>36612</v>
      </c>
      <c r="AF8" s="4" t="n">
        <v>36375</v>
      </c>
      <c r="AG8" s="4" t="n">
        <v>37002.08</v>
      </c>
      <c r="AH8" s="4" t="n">
        <v>38336.36</v>
      </c>
      <c r="AI8" s="4" t="n">
        <v>39000</v>
      </c>
      <c r="AJ8" s="9" t="inlineStr">
        <is>
          <t>Melting Scrap, DAP-Raipur, India | BigMint</t>
        </is>
      </c>
      <c r="AK8" s="7" t="inlineStr">
        <is>
          <t>https://www.bigmint.co/prices/detail/melting-scrap-dap-raipur-india-1040-f-INR</t>
        </is>
      </c>
      <c r="AL8" s="7" t="inlineStr">
        <is>
          <t>Melting Scrap Prices – Live Market Updates | BigMint</t>
        </is>
      </c>
      <c r="AM8" s="7" t="inlineStr">
        <is>
          <t>Melting Scrap, DAP-Raipur, India | BigMint</t>
        </is>
      </c>
    </row>
    <row r="9">
      <c r="A9" s="2" t="inlineStr">
        <is>
          <t>HMS 80:20(Raipur)</t>
        </is>
      </c>
      <c r="B9" s="3" t="inlineStr">
        <is>
          <t>Melting Scrap Prices – Live Market Updates | BigMint</t>
        </is>
      </c>
      <c r="C9" s="3" t="inlineStr">
        <is>
          <t>Melting Scrap, DAP-Raipur, India | BigMint</t>
        </is>
      </c>
      <c r="D9" s="1" t="n"/>
      <c r="E9" s="1" t="n">
        <v>36413.46</v>
      </c>
      <c r="F9" s="1" t="n">
        <v>38329.63</v>
      </c>
      <c r="G9" s="1" t="n">
        <v>36952</v>
      </c>
      <c r="H9" s="1" t="n">
        <v>35264.81</v>
      </c>
      <c r="I9" s="1" t="n">
        <v>34046</v>
      </c>
      <c r="J9" s="1" t="n">
        <v>33558</v>
      </c>
      <c r="K9" s="1" t="n">
        <v>35041.67</v>
      </c>
      <c r="L9" s="1" t="n">
        <v>33408.33</v>
      </c>
      <c r="M9" s="1" t="n">
        <v>32130</v>
      </c>
      <c r="N9" s="1" t="n">
        <v>32490.74</v>
      </c>
      <c r="O9" s="1" t="n">
        <v>32550</v>
      </c>
      <c r="P9" s="1" t="n">
        <v>33766.67</v>
      </c>
      <c r="Q9" s="4" t="n">
        <v>33778</v>
      </c>
      <c r="R9" s="4" t="n">
        <v>32181</v>
      </c>
      <c r="S9" s="4" t="n">
        <v>31718</v>
      </c>
      <c r="T9" s="4" t="n">
        <v>31054</v>
      </c>
      <c r="U9" s="4" t="n">
        <v>31691</v>
      </c>
      <c r="V9" s="5" t="n">
        <v>31942</v>
      </c>
      <c r="W9" s="5" t="n">
        <v>30714</v>
      </c>
      <c r="X9" s="5" t="n">
        <v>30996</v>
      </c>
      <c r="Y9" s="5" t="n">
        <v>31465</v>
      </c>
      <c r="Z9" s="5" t="n">
        <v>33678</v>
      </c>
      <c r="AA9" s="4" t="n">
        <v>34347</v>
      </c>
      <c r="AB9" s="4" t="n">
        <v>34888</v>
      </c>
      <c r="AC9" s="4" t="n">
        <v>35796</v>
      </c>
      <c r="AD9" s="4" t="n">
        <v>35063</v>
      </c>
      <c r="AE9" s="4" t="n">
        <v>34450</v>
      </c>
      <c r="AF9" s="4" t="n">
        <v>34161.54</v>
      </c>
      <c r="AG9" s="4" t="n">
        <v>34693.75</v>
      </c>
      <c r="AH9" s="4" t="n">
        <v>36377.27</v>
      </c>
      <c r="AI9" s="4" t="n">
        <v>36800</v>
      </c>
      <c r="AJ9" s="9" t="inlineStr">
        <is>
          <t>Melting Scrap, DAP-Raipur, India | BigMint</t>
        </is>
      </c>
      <c r="AK9" s="7" t="inlineStr">
        <is>
          <t>https://www.bigmint.co/prices/detail/melting-scrap-dap-raipur-india-1041-f-INR</t>
        </is>
      </c>
      <c r="AL9" s="7" t="inlineStr">
        <is>
          <t>Melting Scrap Prices – Live Market Updates | BigMint</t>
        </is>
      </c>
      <c r="AM9" s="7" t="inlineStr">
        <is>
          <t>Melting Scrap, DAP-Raipur, India | BigMint</t>
        </is>
      </c>
    </row>
    <row r="10">
      <c r="A10" s="2" t="inlineStr">
        <is>
          <t>P-DRI (RAIPUR)</t>
        </is>
      </c>
      <c r="B10" s="3" t="inlineStr">
        <is>
          <t>Sponge Iron Prices – Daily Market Rates | BigMint</t>
        </is>
      </c>
      <c r="C10" s="3" t="inlineStr">
        <is>
          <t>Sponge Iron, PDRI, Exw-Raipur, India | BigMint</t>
        </is>
      </c>
      <c r="D10" s="1" t="n"/>
      <c r="E10" s="1" t="n">
        <v>29067.31</v>
      </c>
      <c r="F10" s="1" t="n">
        <v>29253.7</v>
      </c>
      <c r="G10" s="1" t="n">
        <v>26708</v>
      </c>
      <c r="H10" s="1" t="n">
        <v>25572.22</v>
      </c>
      <c r="I10" s="1" t="n">
        <v>24666</v>
      </c>
      <c r="J10" s="1" t="n">
        <v>25510</v>
      </c>
      <c r="K10" s="1" t="n">
        <v>27500</v>
      </c>
      <c r="L10" s="1" t="n">
        <v>25552.08</v>
      </c>
      <c r="M10" s="1" t="n">
        <v>24650</v>
      </c>
      <c r="N10" s="1" t="n">
        <v>24477.78</v>
      </c>
      <c r="O10" s="1" t="n">
        <v>24812.5</v>
      </c>
      <c r="P10" s="1" t="n">
        <v>25587.5</v>
      </c>
      <c r="Q10" s="4" t="n">
        <v>25759</v>
      </c>
      <c r="R10" s="4" t="n">
        <v>24151</v>
      </c>
      <c r="S10" s="4" t="n">
        <v>22862</v>
      </c>
      <c r="T10" s="4" t="n">
        <v>23664</v>
      </c>
      <c r="U10" s="4" t="n">
        <v>24093</v>
      </c>
      <c r="V10" s="5" t="n">
        <v>24082</v>
      </c>
      <c r="W10" s="5" t="n">
        <v>22905</v>
      </c>
      <c r="X10" s="5" t="n">
        <v>23412</v>
      </c>
      <c r="Y10" s="5" t="n">
        <v>23261</v>
      </c>
      <c r="Z10" s="5" t="n">
        <v>24683</v>
      </c>
      <c r="AA10" s="4" t="n">
        <v>27081</v>
      </c>
      <c r="AB10" s="4" t="n">
        <v>26725</v>
      </c>
      <c r="AC10" s="4" t="n">
        <v>26420</v>
      </c>
      <c r="AD10" s="4" t="n">
        <v>25358</v>
      </c>
      <c r="AE10" s="4" t="n">
        <v>24183</v>
      </c>
      <c r="AF10" s="4" t="n">
        <v>23915.38</v>
      </c>
      <c r="AG10" s="4" t="n">
        <v>26812.5</v>
      </c>
      <c r="AH10" s="4" t="n">
        <v>29031.82</v>
      </c>
      <c r="AI10" s="4" t="n">
        <v>29650</v>
      </c>
      <c r="AJ10" s="9" t="inlineStr">
        <is>
          <t>Sponge Iron, PDRI, Exw-Raipur, India | BigMint</t>
        </is>
      </c>
      <c r="AK10" s="7" t="inlineStr">
        <is>
          <t>https://www.bigmint.co/prices/detail/sponge-iron-pdri-exw-raipur-india-1091-f-INR</t>
        </is>
      </c>
      <c r="AL10" s="7" t="inlineStr">
        <is>
          <t>Sponge Iron Prices – Daily Market Rates | BigMint</t>
        </is>
      </c>
      <c r="AM10" s="7" t="inlineStr">
        <is>
          <t>Sponge Iron, PDRI, Exw-Raipur, India | BigMint</t>
        </is>
      </c>
    </row>
    <row r="11">
      <c r="A11" s="2" t="inlineStr">
        <is>
          <t>TMT(Mumbai) IF FE500</t>
        </is>
      </c>
      <c r="B11" s="3" t="inlineStr">
        <is>
          <t>Rebar Prices – Daily Steel TMT &amp; Rebar Market Rates | BigMint</t>
        </is>
      </c>
      <c r="C11" s="3" t="inlineStr">
        <is>
          <t>Rebar, Exw-Mumbai, India | BigMint</t>
        </is>
      </c>
      <c r="D11" s="1" t="n"/>
      <c r="E11" s="1" t="n">
        <v>50542.31</v>
      </c>
      <c r="F11" s="1" t="n">
        <v>52922.22</v>
      </c>
      <c r="G11" s="1" t="n">
        <v>50512</v>
      </c>
      <c r="H11" s="1" t="n">
        <v>46714.81</v>
      </c>
      <c r="I11" s="1" t="n">
        <v>45268</v>
      </c>
      <c r="J11" s="1" t="n">
        <v>45736</v>
      </c>
      <c r="K11" s="1" t="n">
        <v>48254.17</v>
      </c>
      <c r="L11" s="1" t="n">
        <v>47479.17</v>
      </c>
      <c r="M11" s="1" t="n">
        <v>46896</v>
      </c>
      <c r="N11" s="1" t="n">
        <v>47074.07</v>
      </c>
      <c r="O11" s="1" t="n">
        <v>47945.83</v>
      </c>
      <c r="P11" s="1" t="n">
        <v>49358.33</v>
      </c>
      <c r="Q11" s="4" t="n">
        <v>49403</v>
      </c>
      <c r="R11" s="4" t="n">
        <v>47796</v>
      </c>
      <c r="S11" s="4" t="n">
        <v>44820</v>
      </c>
      <c r="T11" s="4" t="n">
        <v>43484</v>
      </c>
      <c r="U11" s="4" t="n">
        <v>45418</v>
      </c>
      <c r="V11" s="5" t="n">
        <v>44138</v>
      </c>
      <c r="W11" s="5" t="n">
        <v>42232</v>
      </c>
      <c r="X11" s="5" t="n">
        <v>42708</v>
      </c>
      <c r="Y11" s="5" t="n">
        <v>44965</v>
      </c>
      <c r="Z11" s="5" t="n">
        <v>49444</v>
      </c>
      <c r="AA11" s="4" t="n">
        <v>49906</v>
      </c>
      <c r="AB11" s="4" t="n">
        <v>51026</v>
      </c>
      <c r="AC11" s="4" t="n">
        <v>52156</v>
      </c>
      <c r="AD11" s="4" t="n">
        <v>47680</v>
      </c>
      <c r="AE11" s="4" t="n">
        <v>45581</v>
      </c>
      <c r="AF11" s="4" t="n">
        <v>43907.69</v>
      </c>
      <c r="AG11" s="4" t="n">
        <v>47237.5</v>
      </c>
      <c r="AH11" s="4" t="n">
        <v>50181.82</v>
      </c>
      <c r="AI11" s="4" t="n">
        <v>51400</v>
      </c>
      <c r="AJ11" s="9" t="inlineStr">
        <is>
          <t>Rebar, Exw-Mumbai, India | BigMint</t>
        </is>
      </c>
      <c r="AK11" s="7" t="inlineStr">
        <is>
          <t>https://www.bigmint.co/prices/detail/rebar-exw-mumbai-india-1122-f-INR</t>
        </is>
      </c>
      <c r="AL11" s="7" t="inlineStr">
        <is>
          <t>Rebar Prices – Daily Steel TMT &amp; Rebar Market Rates | BigMint</t>
        </is>
      </c>
      <c r="AM11" s="7" t="inlineStr">
        <is>
          <t>Rebar, Exw-Mumbai, India | BigMint</t>
        </is>
      </c>
    </row>
    <row r="12">
      <c r="A12" s="2" t="inlineStr">
        <is>
          <t>TMT(Raipur) IF FE500</t>
        </is>
      </c>
      <c r="B12" s="3" t="inlineStr">
        <is>
          <t>Rebar Prices – Daily Steel TMT &amp; Rebar Market Rates | BigMint</t>
        </is>
      </c>
      <c r="C12" s="3" t="inlineStr">
        <is>
          <t>Rebar, Exw-Raipur, India | BigMint</t>
        </is>
      </c>
      <c r="D12" s="1" t="n"/>
      <c r="E12" s="1" t="n">
        <v>46315.38</v>
      </c>
      <c r="F12" s="1" t="n">
        <v>47725.93</v>
      </c>
      <c r="G12" s="1" t="n">
        <v>46328</v>
      </c>
      <c r="H12" s="1" t="n">
        <v>42385.19</v>
      </c>
      <c r="I12" s="1" t="n">
        <v>41492</v>
      </c>
      <c r="J12" s="1" t="n">
        <v>41944</v>
      </c>
      <c r="K12" t="n">
        <v>44304.17</v>
      </c>
      <c r="L12" s="1" t="n">
        <v>42600</v>
      </c>
      <c r="M12" s="1" t="n">
        <v>42020</v>
      </c>
      <c r="N12" s="1" t="n">
        <v>41755.56</v>
      </c>
      <c r="O12" s="1" t="n">
        <v>42587.5</v>
      </c>
      <c r="P12" s="1" t="n">
        <v>44304.17</v>
      </c>
      <c r="Q12" s="4" t="n">
        <v>45496</v>
      </c>
      <c r="R12" s="4" t="n">
        <v>43585</v>
      </c>
      <c r="S12" s="4" t="n">
        <v>41184</v>
      </c>
      <c r="T12" s="4" t="n">
        <v>39628</v>
      </c>
      <c r="U12" s="4" t="n">
        <v>39822</v>
      </c>
      <c r="V12" s="5" t="n">
        <v>39648</v>
      </c>
      <c r="W12" s="5" t="n">
        <v>38095</v>
      </c>
      <c r="X12" s="5" t="n">
        <v>38248</v>
      </c>
      <c r="Y12" s="5" t="n">
        <v>40015</v>
      </c>
      <c r="Z12" s="5" t="n">
        <v>43804</v>
      </c>
      <c r="AA12" s="4" t="n">
        <v>44772</v>
      </c>
      <c r="AB12" s="4" t="n">
        <v>46075</v>
      </c>
      <c r="AC12" s="4" t="n">
        <v>47060</v>
      </c>
      <c r="AD12" s="4" t="n">
        <v>43565</v>
      </c>
      <c r="AE12" s="4" t="n">
        <v>41646</v>
      </c>
      <c r="AF12" s="4" t="n">
        <v>40100</v>
      </c>
      <c r="AG12" s="4" t="n">
        <v>41733.33</v>
      </c>
      <c r="AH12" s="4" t="n">
        <v>44772.73</v>
      </c>
      <c r="AI12" s="4" t="n">
        <v>46500</v>
      </c>
      <c r="AJ12" s="9" t="inlineStr">
        <is>
          <t>Rebar, Exw-Raipur, India | BigMint</t>
        </is>
      </c>
      <c r="AK12" s="7" t="inlineStr">
        <is>
          <t>https://www.bigmint.co/prices/detail/rebar-exw-raipur-india-1117-f-INR</t>
        </is>
      </c>
      <c r="AL12" s="7" t="inlineStr">
        <is>
          <t>Rebar Prices – Daily Steel TMT &amp; Rebar Market Rates | BigMint</t>
        </is>
      </c>
      <c r="AM12" s="7" t="inlineStr">
        <is>
          <t>Rebar, Exw-Raipur, India | BigMint</t>
        </is>
      </c>
    </row>
    <row r="13">
      <c r="A13" s="2" t="inlineStr">
        <is>
          <t>TMT (MUMBAI) BF FE500D</t>
        </is>
      </c>
      <c r="B13" s="3" t="inlineStr">
        <is>
          <t>Rebar Prices – Daily Steel TMT &amp; Rebar Market Rates | BigMint</t>
        </is>
      </c>
      <c r="C13" s="3" t="inlineStr">
        <is>
          <t>Rebar, Exy-Mumbai, India | BigMint</t>
        </is>
      </c>
      <c r="D13" s="1" t="n"/>
      <c r="E13" s="1" t="n">
        <v>54550</v>
      </c>
      <c r="F13" s="1" t="n">
        <v>58340</v>
      </c>
      <c r="G13" s="1" t="n">
        <v>57375</v>
      </c>
      <c r="H13" s="1" t="n">
        <v>53375</v>
      </c>
      <c r="I13" s="1" t="n">
        <v>50180</v>
      </c>
      <c r="J13" s="1" t="n">
        <v>50425</v>
      </c>
      <c r="K13" s="1" t="n">
        <v>53750</v>
      </c>
      <c r="L13" s="1" t="n">
        <v>54475</v>
      </c>
      <c r="M13" s="1" t="n">
        <v>52875</v>
      </c>
      <c r="N13" s="1" t="n">
        <v>52340</v>
      </c>
      <c r="O13" s="1" t="n">
        <v>52800</v>
      </c>
      <c r="P13" s="1" t="n">
        <v>54925</v>
      </c>
      <c r="Q13" s="4" t="n">
        <v>57050</v>
      </c>
      <c r="R13" s="4" t="n">
        <v>56280</v>
      </c>
      <c r="S13" s="4" t="n">
        <v>52525</v>
      </c>
      <c r="T13" s="4" t="n">
        <v>48750</v>
      </c>
      <c r="U13" s="4" t="n">
        <v>48080</v>
      </c>
      <c r="V13" s="5" t="n">
        <v>47075</v>
      </c>
      <c r="W13" s="5" t="n">
        <v>47000</v>
      </c>
      <c r="X13" s="5" t="n">
        <v>47000</v>
      </c>
      <c r="Y13" s="5" t="n">
        <v>47750</v>
      </c>
      <c r="Z13" s="5" t="n">
        <v>54483</v>
      </c>
      <c r="AA13" s="4" t="n">
        <v>58533</v>
      </c>
      <c r="AB13" s="4" t="n">
        <v>59756</v>
      </c>
      <c r="AC13" s="4" t="n">
        <v>60250</v>
      </c>
      <c r="AD13" s="4" t="n">
        <v>57789</v>
      </c>
      <c r="AE13" s="4" t="n">
        <v>52544</v>
      </c>
      <c r="AF13" s="4" t="n">
        <v>49077.78</v>
      </c>
      <c r="AG13" s="4" t="n">
        <v>53293.75</v>
      </c>
      <c r="AH13" s="4" t="n">
        <v>57575</v>
      </c>
      <c r="AI13" s="4" t="n">
        <v>58150</v>
      </c>
      <c r="AJ13" s="9" t="inlineStr">
        <is>
          <t>Rebar, Exy-Mumbai, India | BigMint</t>
        </is>
      </c>
      <c r="AK13" s="7" t="inlineStr">
        <is>
          <t>https://www.bigmint.co/prices/detail/rebar-exy-mumbai-india-1127-f-INR</t>
        </is>
      </c>
      <c r="AL13" s="7" t="inlineStr">
        <is>
          <t>Rebar Prices – Daily Steel TMT &amp; Rebar Market Rates | BigMint</t>
        </is>
      </c>
      <c r="AM13" s="7" t="inlineStr">
        <is>
          <t>Rebar, Exy-Mumbai, India | BigMint</t>
        </is>
      </c>
    </row>
    <row r="14">
      <c r="A14" s="2" t="inlineStr">
        <is>
          <t>M.S Billets</t>
        </is>
      </c>
      <c r="B14" s="3" t="inlineStr">
        <is>
          <t>Billet, Bloom &amp; Ingot Prices – Steel Market Rates Today | BigMint</t>
        </is>
      </c>
      <c r="C14" s="3" t="inlineStr">
        <is>
          <t>Billet Index, Exw-Raipur, India | BigMint</t>
        </is>
      </c>
      <c r="D14" s="1" t="n"/>
      <c r="E14" s="1" t="n">
        <v>42857.69</v>
      </c>
      <c r="F14" s="1" t="n">
        <v>44537.04</v>
      </c>
      <c r="G14" s="1" t="n">
        <v>42546</v>
      </c>
      <c r="H14" s="1" t="n">
        <v>39368.52</v>
      </c>
      <c r="I14" s="1" t="n">
        <v>38504</v>
      </c>
      <c r="J14" s="1" t="n">
        <v>38342</v>
      </c>
      <c r="K14" s="1" t="n">
        <v>40679.17</v>
      </c>
      <c r="L14" s="1" t="n">
        <v>39197.92</v>
      </c>
      <c r="M14" s="1" t="n">
        <v>38932</v>
      </c>
      <c r="N14" s="1" t="n">
        <v>39070.37</v>
      </c>
      <c r="O14" s="1" t="n">
        <v>39335.42</v>
      </c>
      <c r="P14" s="1" t="n">
        <v>40662.5</v>
      </c>
      <c r="Q14" s="4" t="n">
        <v>41371</v>
      </c>
      <c r="R14" s="4" t="n">
        <v>39868</v>
      </c>
      <c r="S14" s="4" t="n">
        <v>37878</v>
      </c>
      <c r="T14" s="4" t="n">
        <v>36974</v>
      </c>
      <c r="U14" s="4" t="n">
        <v>37430</v>
      </c>
      <c r="V14" s="5" t="n">
        <v>36787</v>
      </c>
      <c r="W14" s="5" t="n">
        <v>35152</v>
      </c>
      <c r="X14" s="5" t="n">
        <v>35554</v>
      </c>
      <c r="Y14" s="5" t="n">
        <v>37175</v>
      </c>
      <c r="Z14" s="5" t="n">
        <v>40504</v>
      </c>
      <c r="AA14" s="4" t="n">
        <v>41236</v>
      </c>
      <c r="AB14" s="4" t="n">
        <v>41600</v>
      </c>
      <c r="AC14" s="4" t="n">
        <v>42474</v>
      </c>
      <c r="AD14" s="4" t="n">
        <v>40148</v>
      </c>
      <c r="AE14" s="4" t="n">
        <v>38819</v>
      </c>
      <c r="AF14" s="4" t="n">
        <v>38164.81</v>
      </c>
      <c r="AG14" s="4" t="n">
        <v>39650</v>
      </c>
      <c r="AH14" s="4" t="n">
        <v>42631.82</v>
      </c>
      <c r="AI14" s="4" t="n">
        <v>44000</v>
      </c>
      <c r="AJ14" s="9" t="inlineStr">
        <is>
          <t>Billet Index, Exw-Raipur, India | BigMint</t>
        </is>
      </c>
      <c r="AK14" s="7" t="inlineStr">
        <is>
          <t>https://www.bigmint.co/prices/detail/billet-index-exw-raipur-india-1067-f-INR</t>
        </is>
      </c>
      <c r="AL14" s="7" t="inlineStr">
        <is>
          <t>Billet, Bloom &amp; Ingot Prices – Steel Market Rates Today | BigMint</t>
        </is>
      </c>
      <c r="AM14" s="7" t="inlineStr">
        <is>
          <t>Billet Index, Exw-Raipur, India | BigMint</t>
        </is>
      </c>
    </row>
    <row r="15">
      <c r="A15" s="2" t="inlineStr">
        <is>
          <t>M.S Ingots</t>
        </is>
      </c>
      <c r="B15" s="3" t="inlineStr">
        <is>
          <t>Billet, Bloom &amp; Ingot Prices – Steel Market Rates Today | BigMint</t>
        </is>
      </c>
      <c r="C15" s="3" t="inlineStr">
        <is>
          <t>Ingot, Exw-Raipur, India | BigMint</t>
        </is>
      </c>
      <c r="D15" s="1" t="n"/>
      <c r="E15" s="1" t="n">
        <v>42425</v>
      </c>
      <c r="F15" s="33" t="n">
        <v>44040.74</v>
      </c>
      <c r="G15" s="1" t="n">
        <v>42212</v>
      </c>
      <c r="H15" s="1" t="n">
        <v>38972.22</v>
      </c>
      <c r="I15" s="1" t="n">
        <v>38200</v>
      </c>
      <c r="J15" s="1" t="n">
        <v>38068</v>
      </c>
      <c r="K15" s="1" t="n">
        <v>40416.67</v>
      </c>
      <c r="L15" s="1" t="n">
        <v>38879.17</v>
      </c>
      <c r="M15" s="1" t="n">
        <v>38636</v>
      </c>
      <c r="N15" s="1" t="n">
        <v>38703.7</v>
      </c>
      <c r="O15" s="1" t="n">
        <v>38962.5</v>
      </c>
      <c r="P15" s="1" t="n">
        <v>40214.58</v>
      </c>
      <c r="Q15" s="4" t="n">
        <v>41069</v>
      </c>
      <c r="R15" s="4" t="n">
        <v>39540</v>
      </c>
      <c r="S15" s="4" t="n">
        <v>37646</v>
      </c>
      <c r="T15" s="4" t="n">
        <v>36660</v>
      </c>
      <c r="U15" s="4" t="n">
        <v>37091</v>
      </c>
      <c r="V15" s="5" t="n">
        <v>36398</v>
      </c>
      <c r="W15" s="5" t="n">
        <v>34736</v>
      </c>
      <c r="X15" s="5" t="n">
        <v>35154</v>
      </c>
      <c r="Y15" s="5" t="n">
        <v>36725</v>
      </c>
      <c r="Z15" s="5" t="n">
        <v>40050</v>
      </c>
      <c r="AA15" s="4" t="n">
        <v>40792</v>
      </c>
      <c r="AB15" s="4" t="n">
        <v>41256</v>
      </c>
      <c r="AC15" s="4" t="n">
        <v>42098</v>
      </c>
      <c r="AD15" s="4" t="n">
        <v>39773</v>
      </c>
      <c r="AE15" s="4" t="n">
        <v>38433</v>
      </c>
      <c r="AF15" s="4" t="n">
        <v>37824.07</v>
      </c>
      <c r="AG15" s="4" t="n">
        <v>39256.25</v>
      </c>
      <c r="AH15" s="4" t="n">
        <v>42168.18</v>
      </c>
      <c r="AI15" s="4" t="n">
        <v>43500</v>
      </c>
      <c r="AJ15" s="9" t="inlineStr">
        <is>
          <t>Ingot, Exw-Raipur, India | BigMint</t>
        </is>
      </c>
      <c r="AK15" s="7" t="inlineStr">
        <is>
          <t>https://www.bigmint.co/prices/detail/ingot-exw-raipur-india-1275-f-INR</t>
        </is>
      </c>
      <c r="AL15" s="7" t="inlineStr">
        <is>
          <t>Billet, Bloom &amp; Ingot Prices – Steel Market Rates Today | BigMint</t>
        </is>
      </c>
      <c r="AM15" s="7" t="inlineStr">
        <is>
          <t>Ingot, Exw-Raipur, India | BigMint</t>
        </is>
      </c>
    </row>
    <row r="16">
      <c r="A16" s="2" t="inlineStr">
        <is>
          <t>Pellet 6-20 mm FE 63% (Raipur)</t>
        </is>
      </c>
      <c r="B16" s="3" t="inlineStr">
        <is>
          <t>Iron Ore Pellets Prices – Live Market Updates | BigMint</t>
        </is>
      </c>
      <c r="C16" s="3" t="inlineStr">
        <is>
          <t>Pellet Index, PELLEX, DAP-Raipur, India | BigMint</t>
        </is>
      </c>
      <c r="D16" s="1" t="n"/>
      <c r="E16" s="1" t="n">
        <v>9683.33</v>
      </c>
      <c r="F16" s="1" t="n">
        <v>10533.33</v>
      </c>
      <c r="G16" s="1" t="n">
        <v>10306.25</v>
      </c>
      <c r="H16" s="1" t="n">
        <v>9183.33</v>
      </c>
      <c r="I16" s="1" t="n">
        <v>8972.219999999999</v>
      </c>
      <c r="J16" s="1" t="n">
        <v>8756.25</v>
      </c>
      <c r="K16" s="1" t="n">
        <v>10144.44</v>
      </c>
      <c r="L16" s="1" t="n">
        <v>9655.559999999999</v>
      </c>
      <c r="M16" s="1" t="n">
        <v>9183.33</v>
      </c>
      <c r="N16" s="1" t="n">
        <v>9533.33</v>
      </c>
      <c r="O16" s="33" t="n">
        <v>9818.75</v>
      </c>
      <c r="P16" s="1" t="n">
        <v>9978.57</v>
      </c>
      <c r="Q16" s="4" t="n">
        <v>10161.11</v>
      </c>
      <c r="R16" s="4" t="n">
        <v>9522</v>
      </c>
      <c r="S16" s="4" t="n">
        <v>9087</v>
      </c>
      <c r="T16" s="4" t="n">
        <v>9450</v>
      </c>
      <c r="U16" s="4" t="n">
        <v>10211</v>
      </c>
      <c r="V16" s="5" t="n">
        <v>10278</v>
      </c>
      <c r="W16" s="5" t="n">
        <v>10186</v>
      </c>
      <c r="X16" s="5" t="n">
        <v>9769</v>
      </c>
      <c r="Y16" s="5" t="n">
        <v>9500</v>
      </c>
      <c r="Z16" s="5" t="n">
        <v>9772</v>
      </c>
      <c r="AA16" s="4" t="n">
        <v>10433</v>
      </c>
      <c r="AB16" s="4" t="n">
        <v>10867</v>
      </c>
      <c r="AC16" s="4" t="n">
        <v>10606</v>
      </c>
      <c r="AD16" s="4" t="n">
        <v>9817</v>
      </c>
      <c r="AE16" s="4" t="n">
        <v>9278</v>
      </c>
      <c r="AF16" s="4" t="n">
        <v>9683.33</v>
      </c>
      <c r="AG16" s="4" t="n">
        <v>10431.25</v>
      </c>
      <c r="AH16" s="4" t="n">
        <v>11000</v>
      </c>
      <c r="AI16" s="4" t="n">
        <v>11000</v>
      </c>
      <c r="AJ16" s="9" t="inlineStr">
        <is>
          <t>Pellet Index, PELLEX, DAP-Raipur, India | BigMint</t>
        </is>
      </c>
      <c r="AK16" s="7" t="inlineStr">
        <is>
          <t>https://www.bigmint.co/prices/detail/pellet-index-pellex-dap-raipur-india-1401-f-INR</t>
        </is>
      </c>
      <c r="AL16" s="7" t="inlineStr">
        <is>
          <t>Iron Ore Pellets Prices – Live Market Updates | BigMint</t>
        </is>
      </c>
      <c r="AM16" s="7" t="inlineStr">
        <is>
          <t>Pellet Index, PELLEX, DAP-Raipur, India | BigMint</t>
        </is>
      </c>
    </row>
    <row r="17">
      <c r="A17" s="2" t="inlineStr">
        <is>
          <t>HRC ( 2.5-8mm,IS2062)Gr-E-250 (Mumbai)</t>
        </is>
      </c>
      <c r="B17" s="3" t="inlineStr">
        <is>
          <t>HRC Prices – Hot Rolled Coil Market Rates Today | BigMint</t>
        </is>
      </c>
      <c r="C17" s="3" t="inlineStr">
        <is>
          <t>HRC, Exy-Mumbai, India | BigMint</t>
        </is>
      </c>
      <c r="D17" s="1" t="n"/>
      <c r="E17" s="1" t="n">
        <v>52627.78</v>
      </c>
      <c r="F17" s="1" t="n">
        <v>54100</v>
      </c>
      <c r="G17" s="1" t="n">
        <v>53837.5</v>
      </c>
      <c r="H17" s="1" t="n">
        <v>52266.67</v>
      </c>
      <c r="I17" s="1" t="n">
        <v>50544.44</v>
      </c>
      <c r="J17" s="1" t="n">
        <v>48028.57</v>
      </c>
      <c r="K17" s="1" t="n">
        <v>48222.22</v>
      </c>
      <c r="L17" s="1" t="n">
        <v>48062.5</v>
      </c>
      <c r="M17" s="1" t="n">
        <v>46877.78</v>
      </c>
      <c r="N17" s="1" t="n">
        <v>47044.44</v>
      </c>
      <c r="O17" s="1" t="n">
        <v>48412.5</v>
      </c>
      <c r="P17" s="1" t="n">
        <v>50342.86</v>
      </c>
      <c r="Q17" s="4" t="n">
        <v>52033</v>
      </c>
      <c r="R17" s="4" t="n">
        <v>52033</v>
      </c>
      <c r="S17" s="4" t="n">
        <v>51050</v>
      </c>
      <c r="T17" s="4" t="n">
        <v>49422</v>
      </c>
      <c r="U17" s="4" t="n">
        <v>49894</v>
      </c>
      <c r="V17" s="5" t="n">
        <v>49144</v>
      </c>
      <c r="W17" s="5" t="n">
        <v>48033</v>
      </c>
      <c r="X17" s="5" t="n">
        <v>46750</v>
      </c>
      <c r="Y17" s="5" t="n">
        <v>47100</v>
      </c>
      <c r="Z17" s="5" t="n">
        <v>51989</v>
      </c>
      <c r="AA17" s="4" t="n">
        <v>53717</v>
      </c>
      <c r="AB17" s="4" t="n">
        <v>56611</v>
      </c>
      <c r="AC17" s="4" t="n">
        <v>59063</v>
      </c>
      <c r="AD17" s="4" t="n">
        <v>58456</v>
      </c>
      <c r="AE17" s="4" t="n">
        <v>58267</v>
      </c>
      <c r="AF17" s="4" t="n">
        <v>57888.89</v>
      </c>
      <c r="AG17" s="4" t="n">
        <v>58575</v>
      </c>
      <c r="AH17" s="4" t="n">
        <v>62100</v>
      </c>
      <c r="AI17" s="4" t="n">
        <v>62200</v>
      </c>
      <c r="AJ17" s="9" t="inlineStr">
        <is>
          <t>HRC, Exy-Mumbai, India | BigMint</t>
        </is>
      </c>
      <c r="AK17" s="7" t="inlineStr">
        <is>
          <t>https://www.bigmint.co/prices/detail/hrc-exy-mumbai-india-1234-f-INR</t>
        </is>
      </c>
      <c r="AL17" s="7" t="inlineStr">
        <is>
          <t>HRC Prices – Hot Rolled Coil Market Rates Today | BigMint</t>
        </is>
      </c>
      <c r="AM17" s="7" t="inlineStr">
        <is>
          <t>HRC, Exy-Mumbai, India | BigMint</t>
        </is>
      </c>
    </row>
    <row r="18">
      <c r="A18" s="2" t="inlineStr">
        <is>
          <t>CRC ( 0.90,IS513) CR1(Mumbai)</t>
        </is>
      </c>
      <c r="B18" s="3" t="inlineStr">
        <is>
          <t>CRC Prices – Cold Rolled Coil Market Rates Today | BigMint</t>
        </is>
      </c>
      <c r="C18" s="3" t="inlineStr">
        <is>
          <t>CRC, Exy-Mumbai, India | BigMint</t>
        </is>
      </c>
      <c r="D18" s="1" t="n"/>
      <c r="E18" s="1" t="n">
        <v>61200</v>
      </c>
      <c r="F18" s="1" t="n">
        <v>61011.11</v>
      </c>
      <c r="G18" s="1" t="n">
        <v>60337.5</v>
      </c>
      <c r="H18" s="1" t="n">
        <v>59555.56</v>
      </c>
      <c r="I18" s="1" t="n">
        <v>57688.89</v>
      </c>
      <c r="J18" s="1" t="n">
        <v>55942.86</v>
      </c>
      <c r="K18" s="1" t="n">
        <v>55733.33</v>
      </c>
      <c r="L18" s="1" t="n">
        <v>55237.5</v>
      </c>
      <c r="M18" s="1" t="n">
        <v>53577.78</v>
      </c>
      <c r="N18" s="1" t="n">
        <v>53533.33</v>
      </c>
      <c r="O18" s="1" t="n">
        <v>54537.5</v>
      </c>
      <c r="P18" s="1" t="n">
        <v>56971.43</v>
      </c>
      <c r="Q18" s="4" t="n">
        <v>58588</v>
      </c>
      <c r="R18" s="4" t="n">
        <v>58900</v>
      </c>
      <c r="S18" s="4" t="n">
        <v>58062</v>
      </c>
      <c r="T18" s="4" t="n">
        <v>56289</v>
      </c>
      <c r="U18" s="4" t="n">
        <v>56922</v>
      </c>
      <c r="V18" s="5" t="n">
        <v>56250</v>
      </c>
      <c r="W18" s="5" t="n">
        <v>55483</v>
      </c>
      <c r="X18" s="5" t="n">
        <v>54838</v>
      </c>
      <c r="Y18" s="5" t="n">
        <v>54500</v>
      </c>
      <c r="Z18" s="5" t="n">
        <v>57822</v>
      </c>
      <c r="AA18" s="4" t="n">
        <v>59633</v>
      </c>
      <c r="AB18" s="4" t="n">
        <v>63244</v>
      </c>
      <c r="AC18" s="4" t="n">
        <v>66463</v>
      </c>
      <c r="AD18" s="4" t="n">
        <v>65222</v>
      </c>
      <c r="AE18" s="4" t="n">
        <v>65200</v>
      </c>
      <c r="AF18" s="4" t="n">
        <v>64988.89</v>
      </c>
      <c r="AG18" s="4" t="n">
        <v>65725</v>
      </c>
      <c r="AH18" s="4" t="n">
        <v>71400</v>
      </c>
      <c r="AI18" s="4" t="n">
        <v>72000</v>
      </c>
      <c r="AJ18" s="9" t="inlineStr">
        <is>
          <t>CRC, Exy-Mumbai, India | BigMint</t>
        </is>
      </c>
      <c r="AK18" s="7" t="inlineStr">
        <is>
          <t>https://www.bigmint.co/prices/detail/crc-exy-mumbai-india-1243-f-INR</t>
        </is>
      </c>
      <c r="AL18" s="7" t="inlineStr">
        <is>
          <t>CRC Prices – Cold Rolled Coil Market Rates Today | BigMint</t>
        </is>
      </c>
      <c r="AM18" s="7" t="inlineStr">
        <is>
          <t>CRC, Exy-Mumbai, India | BigMint</t>
        </is>
      </c>
    </row>
    <row r="19">
      <c r="A19" s="2" t="inlineStr">
        <is>
          <t>HR PLATE (20-40mm, Gr E-250</t>
        </is>
      </c>
      <c r="B19" s="3" t="inlineStr">
        <is>
          <t>HR Plate Prices – Hot Rolled Plate Market Rates Today | BigMint</t>
        </is>
      </c>
      <c r="C19" s="3" t="inlineStr">
        <is>
          <t>HR Plate, Exy-Mumbai, India | BigMint</t>
        </is>
      </c>
      <c r="D19" s="1" t="n"/>
      <c r="E19" s="1" t="n">
        <v>57175</v>
      </c>
      <c r="F19" s="1" t="n">
        <v>57800</v>
      </c>
      <c r="G19" s="1" t="n">
        <v>58000</v>
      </c>
      <c r="H19" s="1" t="n">
        <v>56840</v>
      </c>
      <c r="I19" s="1" t="n">
        <v>54925</v>
      </c>
      <c r="J19" s="1" t="n">
        <v>53266.67</v>
      </c>
      <c r="K19" s="1" t="n">
        <v>53575</v>
      </c>
      <c r="L19" s="1" t="n">
        <v>52525</v>
      </c>
      <c r="M19" s="1" t="n">
        <v>50840</v>
      </c>
      <c r="N19" s="1" t="n">
        <v>52125</v>
      </c>
      <c r="O19" s="1" t="n">
        <v>52400</v>
      </c>
      <c r="P19" s="1" t="n">
        <v>53475</v>
      </c>
      <c r="Q19" s="4" t="n">
        <v>55100</v>
      </c>
      <c r="R19" s="4" t="n">
        <v>55200</v>
      </c>
      <c r="S19" s="4" t="n">
        <v>54850</v>
      </c>
      <c r="T19" s="4" t="n">
        <v>54475</v>
      </c>
      <c r="U19" s="5" t="n">
        <v>54525</v>
      </c>
      <c r="V19" s="5" t="n">
        <v>54125</v>
      </c>
      <c r="W19" s="5" t="n">
        <v>52575</v>
      </c>
      <c r="X19" s="5" t="n">
        <v>52100</v>
      </c>
      <c r="Y19" s="5" t="n">
        <v>51740</v>
      </c>
      <c r="Z19" s="5" t="n">
        <v>55250</v>
      </c>
      <c r="AA19" s="4" t="n">
        <v>58100</v>
      </c>
      <c r="AB19" s="4" t="n">
        <v>59200</v>
      </c>
      <c r="AC19" s="4" t="n">
        <v>61980</v>
      </c>
      <c r="AD19" s="4" t="n">
        <v>60725</v>
      </c>
      <c r="AE19" s="4" t="n">
        <v>60700</v>
      </c>
      <c r="AF19" s="4" t="n">
        <v>60440</v>
      </c>
      <c r="AG19" s="4" t="n">
        <v>61450</v>
      </c>
      <c r="AH19" s="4" t="n">
        <v>63900</v>
      </c>
      <c r="AI19" s="4" t="n">
        <v>63900</v>
      </c>
      <c r="AJ19" s="9" t="inlineStr">
        <is>
          <t>HR Plate, Exy-Mumbai, India | BigMint</t>
        </is>
      </c>
      <c r="AK19" s="7" t="inlineStr">
        <is>
          <t>https://www.bigmint.co/prices/detail/hr-plate-exy-mumbai-india-1496-f-INR</t>
        </is>
      </c>
      <c r="AL19" s="7" t="inlineStr">
        <is>
          <t>HR Plate Prices – Hot Rolled Plate Market Rates Today | BigMint</t>
        </is>
      </c>
      <c r="AM19" s="7" t="inlineStr">
        <is>
          <t>HR Plate, Exy-Mumbai, India | BigMint</t>
        </is>
      </c>
    </row>
    <row r="20">
      <c r="A20" s="2" t="inlineStr">
        <is>
          <t>GP (0.8mm,80 GSM) (Mumbai)</t>
        </is>
      </c>
      <c r="B20" s="3" t="inlineStr">
        <is>
          <t>Prices | BigMint</t>
        </is>
      </c>
      <c r="C20" s="3" t="inlineStr">
        <is>
          <t>GP, Exy-Mumbai, India | BigMint</t>
        </is>
      </c>
      <c r="D20" s="1" t="n"/>
      <c r="E20" s="1" t="n">
        <v>63100</v>
      </c>
      <c r="F20" s="1" t="n">
        <v>63780</v>
      </c>
      <c r="G20" s="1" t="n">
        <v>63800</v>
      </c>
      <c r="H20" s="1" t="n">
        <v>62500</v>
      </c>
      <c r="I20" s="1" t="n">
        <v>60320</v>
      </c>
      <c r="J20" s="1" t="n">
        <v>57775</v>
      </c>
      <c r="K20" s="1" t="n">
        <v>56000</v>
      </c>
      <c r="L20" s="1" t="n">
        <v>57100</v>
      </c>
      <c r="M20" s="1" t="n">
        <v>56575</v>
      </c>
      <c r="N20" s="1" t="n">
        <v>56560</v>
      </c>
      <c r="O20" s="1" t="n">
        <v>57275</v>
      </c>
      <c r="P20" s="1" t="n">
        <v>59925</v>
      </c>
      <c r="Q20" s="4" t="n">
        <v>63150</v>
      </c>
      <c r="R20" s="4" t="n">
        <v>64360</v>
      </c>
      <c r="S20" s="4" t="n">
        <v>63375</v>
      </c>
      <c r="T20" s="4" t="n">
        <v>61250</v>
      </c>
      <c r="U20" s="4" t="n">
        <v>61000</v>
      </c>
      <c r="V20" s="5" t="n">
        <v>60825</v>
      </c>
      <c r="W20" s="5" t="n">
        <v>59275</v>
      </c>
      <c r="X20" s="5" t="n">
        <v>58575</v>
      </c>
      <c r="Y20" s="5" t="n">
        <v>59475</v>
      </c>
      <c r="Z20" s="5" t="n">
        <v>64500</v>
      </c>
      <c r="AA20" s="4" t="n">
        <v>67567</v>
      </c>
      <c r="AB20" s="4" t="n">
        <v>71675</v>
      </c>
      <c r="AC20" s="4" t="n">
        <v>78760</v>
      </c>
      <c r="AD20" s="4" t="n">
        <v>75850</v>
      </c>
      <c r="AE20" s="4" t="n">
        <v>74225</v>
      </c>
      <c r="AF20" s="4" t="n">
        <v>72380</v>
      </c>
      <c r="AG20" s="4" t="n">
        <v>74100</v>
      </c>
      <c r="AH20" s="4" t="n">
        <v>77500</v>
      </c>
      <c r="AI20" s="4" t="n">
        <v>78300</v>
      </c>
      <c r="AJ20" s="10" t="inlineStr">
        <is>
          <t>GP, Exy-Mumbai, India | BigMint</t>
        </is>
      </c>
      <c r="AK20" s="7" t="inlineStr">
        <is>
          <t>https://www.bigmint.co/prices/detail/gp-exy-mumbai-india-1678-f-INR</t>
        </is>
      </c>
      <c r="AL20" s="7" t="inlineStr">
        <is>
          <t>Prices | BigMint</t>
        </is>
      </c>
      <c r="AM20" s="7" t="inlineStr">
        <is>
          <t>GP, Exy-Mumbai, India | BigMint</t>
        </is>
      </c>
    </row>
    <row r="21">
      <c r="A21" s="11" t="inlineStr">
        <is>
          <t>ERW PIPE HR COIL ( MUMBAI) IS1239 IS1161</t>
        </is>
      </c>
      <c r="B21" s="3" t="inlineStr">
        <is>
          <t>Steel Pipes Prices – Market Rates for MS &amp; GI Pipes | BigMint</t>
        </is>
      </c>
      <c r="C21" s="3" t="inlineStr">
        <is>
          <t>ERW Pipe (HR Coil based), Exy-Mumbai, India | BigMint</t>
        </is>
      </c>
      <c r="D21" s="1" t="n"/>
      <c r="E21" s="1" t="n">
        <v>59500</v>
      </c>
      <c r="F21" s="1" t="n">
        <v>60500</v>
      </c>
      <c r="G21" s="1" t="n">
        <v>60375</v>
      </c>
      <c r="H21" s="1" t="n">
        <v>57900</v>
      </c>
      <c r="I21" s="1" t="n">
        <v>54750</v>
      </c>
      <c r="J21" s="1" t="n">
        <v>51250</v>
      </c>
      <c r="K21" s="1" t="n">
        <v>51000</v>
      </c>
      <c r="L21" s="1" t="n">
        <v>51875</v>
      </c>
      <c r="M21" s="1" t="n">
        <v>51375</v>
      </c>
      <c r="N21" s="1" t="n">
        <v>51500</v>
      </c>
      <c r="O21" s="1" t="n">
        <v>53250</v>
      </c>
      <c r="P21" s="1" t="n">
        <v>56000</v>
      </c>
      <c r="Q21" s="4" t="n">
        <v>58760</v>
      </c>
      <c r="R21" s="4" t="n">
        <v>59625</v>
      </c>
      <c r="S21" s="4" t="n">
        <v>58900</v>
      </c>
      <c r="T21" s="4" t="n">
        <v>55750</v>
      </c>
      <c r="U21" s="4" t="n">
        <v>54875</v>
      </c>
      <c r="V21" s="5" t="n">
        <v>54750</v>
      </c>
      <c r="W21" s="5" t="n">
        <v>53100</v>
      </c>
      <c r="X21" s="5" t="n">
        <v>52800</v>
      </c>
      <c r="Y21" s="5" t="n">
        <v>51460</v>
      </c>
      <c r="Z21" s="5" t="n">
        <v>56150</v>
      </c>
      <c r="AA21" s="4" t="n">
        <v>58017</v>
      </c>
      <c r="AB21" s="4" t="n">
        <v>59275</v>
      </c>
      <c r="AC21" s="4" t="n">
        <v>65280</v>
      </c>
      <c r="AD21" s="4" t="n">
        <v>64738</v>
      </c>
      <c r="AE21" s="4" t="n">
        <v>62850</v>
      </c>
      <c r="AF21" s="4" t="n">
        <v>61380</v>
      </c>
      <c r="AG21" s="4" t="n">
        <v>61625</v>
      </c>
      <c r="AH21" s="4" t="n">
        <v>64250</v>
      </c>
      <c r="AI21" s="4" t="n">
        <v>64900</v>
      </c>
      <c r="AJ21" s="10" t="inlineStr">
        <is>
          <t>ERW Pipe (HR Coil based), Exy-Mumbai, India | BigMint</t>
        </is>
      </c>
      <c r="AK21" s="7" t="inlineStr">
        <is>
          <t>https://www.bigmint.co/prices/detail/erw-pipe-hr-coil-based-exy-mumbai-india-1475-f-INR</t>
        </is>
      </c>
      <c r="AL21" s="7" t="inlineStr">
        <is>
          <t>Steel Pipes Prices – Market Rates for MS &amp; GI Pipes | BigMint</t>
        </is>
      </c>
      <c r="AM21" s="7" t="inlineStr">
        <is>
          <t>ERW Pipe (HR Coil based), Exy-Mumbai, India | BigMint</t>
        </is>
      </c>
    </row>
    <row r="22">
      <c r="A22" s="11" t="inlineStr">
        <is>
          <t>ERW PIPE HR COIL ( DELHI)</t>
        </is>
      </c>
      <c r="B22" s="3" t="inlineStr">
        <is>
          <t>Steel Pipes Prices – Market Rates for MS &amp; GI Pipes | BigMint</t>
        </is>
      </c>
      <c r="C22" s="3" t="inlineStr">
        <is>
          <t>ERW Pipe (HR Coil based), Exy-Delhi, India | BigMint</t>
        </is>
      </c>
      <c r="D22" s="1" t="n"/>
      <c r="E22" s="1" t="n">
        <v>61750</v>
      </c>
      <c r="F22" s="1" t="n">
        <v>61800</v>
      </c>
      <c r="G22" s="1" t="n">
        <v>61750</v>
      </c>
      <c r="H22" s="1" t="n">
        <v>59000</v>
      </c>
      <c r="I22" s="1" t="n">
        <v>55750</v>
      </c>
      <c r="J22" s="1" t="n">
        <v>52500</v>
      </c>
      <c r="K22" s="1" t="n">
        <v>52000</v>
      </c>
      <c r="L22" s="1" t="n">
        <v>52750</v>
      </c>
      <c r="M22" s="1" t="n">
        <v>52500</v>
      </c>
      <c r="N22" s="1" t="n">
        <v>52500</v>
      </c>
      <c r="O22" s="1" t="n">
        <v>54250</v>
      </c>
      <c r="P22" s="1" t="n">
        <v>57000</v>
      </c>
      <c r="Q22" s="4" t="n">
        <v>59880</v>
      </c>
      <c r="R22" s="4" t="n">
        <v>60625</v>
      </c>
      <c r="S22" s="4" t="n">
        <v>59500</v>
      </c>
      <c r="T22" s="4" t="n">
        <v>57125</v>
      </c>
      <c r="U22" s="4" t="n">
        <v>57000</v>
      </c>
      <c r="V22" s="5" t="n">
        <v>57000</v>
      </c>
      <c r="W22" s="5" t="n">
        <v>56300</v>
      </c>
      <c r="X22" s="5" t="n">
        <v>55650</v>
      </c>
      <c r="Y22" s="5" t="n">
        <v>54900</v>
      </c>
      <c r="Z22" s="5" t="n">
        <v>59850</v>
      </c>
      <c r="AA22" s="4" t="n">
        <v>61067</v>
      </c>
      <c r="AB22" s="4" t="n">
        <v>61788</v>
      </c>
      <c r="AC22" s="4" t="n">
        <v>66260</v>
      </c>
      <c r="AD22" s="4" t="n">
        <v>65100</v>
      </c>
      <c r="AE22" s="4" t="n">
        <v>63350</v>
      </c>
      <c r="AF22" s="4" t="n">
        <v>62080</v>
      </c>
      <c r="AG22" s="4" t="n">
        <v>62350</v>
      </c>
      <c r="AH22" s="4" t="n">
        <v>63950</v>
      </c>
      <c r="AI22" s="4" t="n">
        <v>64400</v>
      </c>
      <c r="AJ22" s="9" t="inlineStr">
        <is>
          <t>ERW Pipe (HR Coil based), Exy-Delhi, India | BigMint</t>
        </is>
      </c>
      <c r="AK22" s="7" t="inlineStr">
        <is>
          <t>https://www.bigmint.co/prices/detail/erw-pipe-hr-coil-based-exy-delhi-india-1426-f-INR</t>
        </is>
      </c>
      <c r="AL22" s="7" t="inlineStr">
        <is>
          <t>Steel Pipes Prices – Market Rates for MS &amp; GI Pipes | BigMint</t>
        </is>
      </c>
      <c r="AM22" s="7" t="inlineStr">
        <is>
          <t>ERW Pipe (HR Coil based), Exy-Delhi, India | BigMint</t>
        </is>
      </c>
    </row>
    <row r="23" ht="31.2" customHeight="1">
      <c r="A23" s="11" t="inlineStr">
        <is>
          <t>Galvalume, Exy-Mumbai, (0.5mm/CTL, 1220mm, AZ 150)</t>
        </is>
      </c>
      <c r="E23" s="1" t="n">
        <v>83600</v>
      </c>
      <c r="F23" s="1" t="n">
        <v>83260</v>
      </c>
      <c r="G23" s="1" t="n">
        <v>83075</v>
      </c>
      <c r="H23" s="1" t="n">
        <v>81625</v>
      </c>
      <c r="I23" s="1" t="n">
        <v>79140</v>
      </c>
      <c r="J23" s="1" t="n">
        <v>77275</v>
      </c>
      <c r="K23" s="1" t="n">
        <v>76425</v>
      </c>
      <c r="L23" s="1" t="n">
        <v>76675</v>
      </c>
      <c r="M23" s="1" t="n">
        <v>75200</v>
      </c>
      <c r="N23" s="1" t="n">
        <v>74060</v>
      </c>
      <c r="O23" s="1" t="n">
        <v>74525</v>
      </c>
      <c r="P23" s="1" t="n">
        <v>76025</v>
      </c>
      <c r="Q23" s="4" t="n">
        <v>77775</v>
      </c>
      <c r="R23" s="4" t="n">
        <v>79460</v>
      </c>
      <c r="S23" s="4" t="n">
        <v>78000</v>
      </c>
      <c r="T23" s="4" t="n">
        <v>76580</v>
      </c>
      <c r="U23" s="4" t="n">
        <v>79600</v>
      </c>
      <c r="V23" s="4" t="n">
        <v>77625</v>
      </c>
      <c r="W23" s="4" t="n">
        <v>76188</v>
      </c>
      <c r="X23" s="4" t="n">
        <v>75625</v>
      </c>
      <c r="Y23" s="4" t="n">
        <v>74575</v>
      </c>
      <c r="Z23" s="4" t="n">
        <v>77180</v>
      </c>
      <c r="AA23" s="4" t="n">
        <v>79667</v>
      </c>
      <c r="AB23" s="4" t="n">
        <v>83475</v>
      </c>
      <c r="AC23" s="4" t="n">
        <v>90160</v>
      </c>
      <c r="AD23" s="4" t="n">
        <v>89325</v>
      </c>
      <c r="AE23" s="4" t="n">
        <v>89875</v>
      </c>
      <c r="AF23" s="4" t="n">
        <v>89580</v>
      </c>
      <c r="AG23" s="4" t="n">
        <v>90000</v>
      </c>
      <c r="AH23" s="4" t="n">
        <v>90000</v>
      </c>
      <c r="AI23" s="4" t="n">
        <v>90000</v>
      </c>
      <c r="AJ23" s="9" t="inlineStr">
        <is>
          <t>Galvalume, Exy-Mumbai, India (0.5mm / CTL, 1220mm, AZ 150, IS15961)</t>
        </is>
      </c>
      <c r="AK23" s="7" t="inlineStr">
        <is>
          <t>https://www.bigmint.co/prices/detail/galvalume-exy-mumbai-india-1521-f-INR</t>
        </is>
      </c>
    </row>
    <row r="24" ht="31.2" customHeight="1">
      <c r="A24" s="11" t="inlineStr">
        <is>
          <t>Galvalume, Exy-Mumbai, (0.5mm/CTL, 1220mm, AZ 70)</t>
        </is>
      </c>
      <c r="E24" s="1" t="n">
        <v>80600</v>
      </c>
      <c r="F24" s="1" t="n">
        <v>80260</v>
      </c>
      <c r="G24" s="1" t="n">
        <v>80075</v>
      </c>
      <c r="H24" s="1" t="n">
        <v>78625</v>
      </c>
      <c r="I24" s="1" t="n">
        <v>76120</v>
      </c>
      <c r="J24" s="1" t="n">
        <v>74325</v>
      </c>
      <c r="K24" s="1" t="n">
        <v>73800</v>
      </c>
      <c r="L24" s="1" t="n">
        <v>73775</v>
      </c>
      <c r="M24" s="1" t="n">
        <v>72175</v>
      </c>
      <c r="N24" s="1" t="n">
        <v>71060</v>
      </c>
      <c r="O24" s="1" t="n">
        <v>71350</v>
      </c>
      <c r="P24" s="1" t="n">
        <v>72950</v>
      </c>
      <c r="Q24" s="4" t="n">
        <v>74775</v>
      </c>
      <c r="R24" s="4" t="n">
        <v>76460</v>
      </c>
      <c r="S24" s="4" t="n">
        <v>75250</v>
      </c>
      <c r="T24" s="4" t="n">
        <v>73560</v>
      </c>
      <c r="U24" s="4" t="n">
        <v>76600</v>
      </c>
      <c r="V24" s="4" t="n">
        <v>74625</v>
      </c>
      <c r="W24" s="4" t="n">
        <v>73188</v>
      </c>
      <c r="X24" s="4" t="n">
        <v>72625</v>
      </c>
      <c r="Y24" s="4" t="n">
        <v>71575</v>
      </c>
      <c r="Z24" s="4" t="n">
        <v>74180</v>
      </c>
      <c r="AA24" s="4" t="n">
        <v>76666</v>
      </c>
      <c r="AB24" s="4" t="n">
        <v>80475</v>
      </c>
      <c r="AC24" s="4" t="n">
        <v>87160</v>
      </c>
      <c r="AD24" s="4" t="n">
        <v>86325</v>
      </c>
      <c r="AE24" s="4" t="n">
        <v>86875</v>
      </c>
      <c r="AF24" s="4" t="n">
        <v>86580</v>
      </c>
      <c r="AG24" s="4" t="n">
        <v>87000</v>
      </c>
      <c r="AH24" s="4" t="n">
        <v>87000</v>
      </c>
      <c r="AI24" s="4" t="n">
        <v>87000</v>
      </c>
      <c r="AJ24" s="9" t="inlineStr">
        <is>
          <t>Galvalume, Exy-Mumbai, India (0.5mm / CTL, 1220mm, AZ 70, IS15961)</t>
        </is>
      </c>
      <c r="AK24" s="7" t="inlineStr">
        <is>
          <t>https://www.bigmint.co/prices/detail/galvalume-exy-mumbai-india-1518-f-INR</t>
        </is>
      </c>
    </row>
    <row r="25" ht="31.95" customHeight="1">
      <c r="A25" s="11" t="inlineStr">
        <is>
          <t>PPGI, Exy-Mumbai, India (0.5mm / CTL, 90 GSM, IS14246)</t>
        </is>
      </c>
      <c r="E25" s="1" t="inlineStr">
        <is>
          <t>—</t>
        </is>
      </c>
      <c r="F25" s="1" t="inlineStr">
        <is>
          <t>—</t>
        </is>
      </c>
      <c r="G25" s="1" t="inlineStr">
        <is>
          <t>—</t>
        </is>
      </c>
      <c r="H25" s="1" t="inlineStr">
        <is>
          <t>—</t>
        </is>
      </c>
      <c r="I25" s="1" t="inlineStr">
        <is>
          <t>—</t>
        </is>
      </c>
      <c r="J25" s="1" t="inlineStr">
        <is>
          <t>—</t>
        </is>
      </c>
      <c r="K25" s="1" t="inlineStr">
        <is>
          <t>—</t>
        </is>
      </c>
      <c r="L25" s="1" t="inlineStr">
        <is>
          <t>—</t>
        </is>
      </c>
      <c r="M25" s="1" t="inlineStr">
        <is>
          <t>—</t>
        </is>
      </c>
      <c r="N25" s="1" t="inlineStr">
        <is>
          <t>—</t>
        </is>
      </c>
      <c r="O25" s="1" t="inlineStr">
        <is>
          <t>—</t>
        </is>
      </c>
      <c r="P25" s="1" t="inlineStr">
        <is>
          <t>—</t>
        </is>
      </c>
      <c r="Q25" s="4" t="n">
        <v>73425</v>
      </c>
      <c r="R25" s="4" t="n">
        <v>74440</v>
      </c>
      <c r="S25" s="4" t="n">
        <v>74025</v>
      </c>
      <c r="T25" s="4" t="n">
        <v>77620</v>
      </c>
      <c r="U25" s="4" t="n">
        <v>73750</v>
      </c>
      <c r="V25" s="4" t="n">
        <v>73150</v>
      </c>
      <c r="W25" s="4" t="n">
        <v>69925</v>
      </c>
      <c r="X25" s="4" t="n">
        <v>68600</v>
      </c>
      <c r="Y25" s="4" t="n">
        <v>69175</v>
      </c>
      <c r="Z25" s="4" t="n">
        <v>73720</v>
      </c>
      <c r="AA25" s="4" t="n">
        <v>77100</v>
      </c>
      <c r="AB25" s="4" t="n">
        <v>79000</v>
      </c>
      <c r="AC25" s="4" t="n">
        <v>87700</v>
      </c>
      <c r="AD25" s="4" t="n">
        <v>85700</v>
      </c>
      <c r="AE25" s="4" t="n">
        <v>85275</v>
      </c>
      <c r="AF25" s="4" t="n">
        <v>84800</v>
      </c>
      <c r="AG25" s="4" t="n">
        <v>85450</v>
      </c>
      <c r="AH25" s="4" t="n">
        <v>87150</v>
      </c>
      <c r="AI25" s="4" t="n">
        <v>87300</v>
      </c>
      <c r="AJ25" s="9" t="inlineStr">
        <is>
          <t>PPGI, Exy-Mumbai, India (0.5mm / CTL, 90 GSM, IS14246)</t>
        </is>
      </c>
      <c r="AK25" s="7" t="inlineStr">
        <is>
          <t>https://www.bigmint.co/prices/detail/ppgi-exy-mumbai-india-1369-f-INR</t>
        </is>
      </c>
    </row>
    <row r="26">
      <c r="A26" s="11" t="inlineStr">
        <is>
          <t>Hrc Exy Kolkata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9" t="n"/>
      <c r="AK26" s="7" t="inlineStr">
        <is>
          <t>https://www.bigmint.co/prices/detail/hrc-exy-kolkata-india-1231-f-INR</t>
        </is>
      </c>
    </row>
    <row r="27">
      <c r="A27" s="11" t="inlineStr">
        <is>
          <t>Hrc Exy Chennai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9" t="n"/>
      <c r="AK27" s="7" t="inlineStr">
        <is>
          <t>https://www.bigmint.co/prices/detail/hrc-exy-chennai-india-1235-f-INR</t>
        </is>
      </c>
    </row>
    <row r="28">
      <c r="A28" s="11" t="inlineStr">
        <is>
          <t>Hrc Exy Hyderabad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9" t="n"/>
      <c r="AK28" s="7" t="inlineStr">
        <is>
          <t>https://www.bigmint.co/prices/detail/hrc-exy-hyderabad-india-1236-f-INR</t>
        </is>
      </c>
    </row>
    <row r="29">
      <c r="A29" s="11" t="inlineStr">
        <is>
          <t>Hrc Exy Bangalore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9" t="n"/>
      <c r="AK29" s="7" t="inlineStr">
        <is>
          <t>https://www.bigmint.co/prices/detail/hrc-exy-bangalore-india-1390-f-INR</t>
        </is>
      </c>
    </row>
    <row r="30">
      <c r="A30" s="11" t="inlineStr">
        <is>
          <t>Hrc Exy Faridabad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9" t="n"/>
      <c r="AK30" s="7" t="inlineStr">
        <is>
          <t>https://www.bigmint.co/prices/detail/hrc-exy-faridabad-india-1229-f-INR</t>
        </is>
      </c>
    </row>
    <row r="31">
      <c r="A31" s="11" t="inlineStr">
        <is>
          <t>Hrc Exy Delhi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9" t="n"/>
      <c r="AK31" s="7" t="inlineStr">
        <is>
          <t>https://www.bigmint.co/prices/detail/hrc-exy-delhi-india-1228-f-INR</t>
        </is>
      </c>
    </row>
    <row r="32">
      <c r="A32" s="11" t="inlineStr">
        <is>
          <t>Hrc Exy Ludhiana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9" t="n"/>
      <c r="AK32" s="7" t="inlineStr">
        <is>
          <t>https://www.bigmint.co/prices/detail/hrc-exy-ludhiana-india-1230-f-INR</t>
        </is>
      </c>
    </row>
    <row r="33">
      <c r="A33" s="11" t="inlineStr">
        <is>
          <t>Hrc Exy Ahmedabad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9" t="n"/>
      <c r="AK33" s="7" t="inlineStr">
        <is>
          <t>https://www.bigmint.co/prices/detail/hrc-exy-ahmedabad-india-1233-f-INR</t>
        </is>
      </c>
    </row>
    <row r="34">
      <c r="A34" s="11" t="inlineStr">
        <is>
          <t>Gp Exy Hyderabad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9" t="n"/>
      <c r="AK34" s="7" t="inlineStr">
        <is>
          <t>https://www.bigmint.co/prices/detail/gp-exy-hyderabad-india-1679-f-INR</t>
        </is>
      </c>
    </row>
    <row r="35">
      <c r="A35" s="11" t="inlineStr">
        <is>
          <t>Gp Exy Chennai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9" t="n"/>
      <c r="AK35" s="7" t="inlineStr">
        <is>
          <t>https://www.bigmint.co/prices/detail/gp-exy-chennai-india-1680-f-INR</t>
        </is>
      </c>
    </row>
    <row r="36">
      <c r="A36" s="11" t="inlineStr">
        <is>
          <t>Gp Exy Delhi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9" t="n"/>
      <c r="AK36" s="7" t="inlineStr">
        <is>
          <t>https://www.bigmint.co/prices/detail/gp-exy-delhi-india-1681-f-INR</t>
        </is>
      </c>
    </row>
    <row r="37">
      <c r="A37" s="11" t="inlineStr">
        <is>
          <t>Rebar Exy Raipur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9" t="n"/>
      <c r="AK37" s="7" t="inlineStr">
        <is>
          <t>https://www.bigmint.co/prices/detail/rebar-exy-raipur-india-1922-f-INR</t>
        </is>
      </c>
    </row>
    <row r="38">
      <c r="A38" s="11" t="inlineStr">
        <is>
          <t>Rebar Exw Raipur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9" t="n"/>
      <c r="AK38" s="7" t="inlineStr">
        <is>
          <t>https://www.bigmint.co/prices/detail/rebar-exw-raipur-india-1503-f-INR</t>
        </is>
      </c>
    </row>
    <row r="39">
      <c r="A39" s="11" t="inlineStr">
        <is>
          <t>Rebar Exw Jalna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9" t="n"/>
      <c r="AK39" s="7" t="inlineStr">
        <is>
          <t>https://www.bigmint.co/prices/detail/rebar-exw-jalna-india-1121-f-INR</t>
        </is>
      </c>
    </row>
  </sheetData>
  <hyperlinks>
    <hyperlink xmlns:r="http://schemas.openxmlformats.org/officeDocument/2006/relationships" ref="B2" display="https://www.bigmint.co/prices/ferrous/scrap-metallics/pig-iron" r:id="rId1"/>
    <hyperlink xmlns:r="http://schemas.openxmlformats.org/officeDocument/2006/relationships" ref="C2" display="https://www.bigmint.co/prices/detail/pig-iron-dap-raipur-india-1102-f-INR" r:id="rId2"/>
    <hyperlink xmlns:r="http://schemas.openxmlformats.org/officeDocument/2006/relationships" ref="AK2" r:id="rId3"/>
    <hyperlink xmlns:r="http://schemas.openxmlformats.org/officeDocument/2006/relationships" ref="AL2" display="https://www.bigmint.co/prices/ferrous/scrap-metallics/pig-iron" r:id="rId4"/>
    <hyperlink xmlns:r="http://schemas.openxmlformats.org/officeDocument/2006/relationships" ref="AM2" display="https://www.bigmint.co/prices/detail/pig-iron-dap-raipur-india-1102-f-INR" r:id="rId5"/>
    <hyperlink xmlns:r="http://schemas.openxmlformats.org/officeDocument/2006/relationships" ref="B3" display="https://www.bigmint.co/prices/ferrous/scrap-metallics/pig-iron" r:id="rId6"/>
    <hyperlink xmlns:r="http://schemas.openxmlformats.org/officeDocument/2006/relationships" ref="C3" display="https://www.bigmint.co/prices/detail/pig-iron-dap-ludhiana-india-1100-f-INR" r:id="rId7"/>
    <hyperlink xmlns:r="http://schemas.openxmlformats.org/officeDocument/2006/relationships" ref="AK3" r:id="rId8"/>
    <hyperlink xmlns:r="http://schemas.openxmlformats.org/officeDocument/2006/relationships" ref="AL3" display="https://www.bigmint.co/prices/ferrous/scrap-metallics/pig-iron" r:id="rId9"/>
    <hyperlink xmlns:r="http://schemas.openxmlformats.org/officeDocument/2006/relationships" ref="AM3" display="https://www.bigmint.co/prices/detail/pig-iron-dap-ludhiana-india-1100-f-INR" r:id="rId10"/>
    <hyperlink xmlns:r="http://schemas.openxmlformats.org/officeDocument/2006/relationships" ref="B4" display="https://www.bigmint.co/prices/ferrous/scrap-metallics/pig-iron" r:id="rId11"/>
    <hyperlink xmlns:r="http://schemas.openxmlformats.org/officeDocument/2006/relationships" ref="C4" display="https://www.bigmint.co/prices/detail/pig-iron-exw-durgapur-india-1096-f-INR" r:id="rId12"/>
    <hyperlink xmlns:r="http://schemas.openxmlformats.org/officeDocument/2006/relationships" ref="AK4" r:id="rId13"/>
    <hyperlink xmlns:r="http://schemas.openxmlformats.org/officeDocument/2006/relationships" ref="AL4" display="https://www.bigmint.co/prices/ferrous/scrap-metallics/pig-iron" r:id="rId14"/>
    <hyperlink xmlns:r="http://schemas.openxmlformats.org/officeDocument/2006/relationships" ref="AM4" display="https://www.bigmint.co/prices/detail/pig-iron-exw-durgapur-india-1096-f-INR" r:id="rId15"/>
    <hyperlink xmlns:r="http://schemas.openxmlformats.org/officeDocument/2006/relationships" ref="B5" display="https://www.bigmint.co/prices/ferrous/scrap-metallics/pig-iron" r:id="rId16"/>
    <hyperlink xmlns:r="http://schemas.openxmlformats.org/officeDocument/2006/relationships" ref="C5" display="https://www.bigmint.co/prices/detail/pig-iron-dap-hyderabad-india-1098-f-INR" r:id="rId17"/>
    <hyperlink xmlns:r="http://schemas.openxmlformats.org/officeDocument/2006/relationships" ref="AK5" r:id="rId18"/>
    <hyperlink xmlns:r="http://schemas.openxmlformats.org/officeDocument/2006/relationships" ref="AL5" display="https://www.bigmint.co/prices/ferrous/scrap-metallics/pig-iron" r:id="rId19"/>
    <hyperlink xmlns:r="http://schemas.openxmlformats.org/officeDocument/2006/relationships" ref="AM5" display="https://www.bigmint.co/prices/detail/pig-iron-dap-hyderabad-india-1098-f-INR" r:id="rId20"/>
    <hyperlink xmlns:r="http://schemas.openxmlformats.org/officeDocument/2006/relationships" ref="B6" display="https://www.bigmint.co/prices/ferrous/scrap-metallics/pig-iron" r:id="rId21"/>
    <hyperlink xmlns:r="http://schemas.openxmlformats.org/officeDocument/2006/relationships" ref="C6" display="https://www.bigmint.co/prices/detail/pig-iron-dap-ludhiana-india-1108-f-INR" r:id="rId22"/>
    <hyperlink xmlns:r="http://schemas.openxmlformats.org/officeDocument/2006/relationships" ref="AK6" r:id="rId23"/>
    <hyperlink xmlns:r="http://schemas.openxmlformats.org/officeDocument/2006/relationships" ref="AL6" display="https://www.bigmint.co/prices/ferrous/scrap-metallics/pig-iron" r:id="rId24"/>
    <hyperlink xmlns:r="http://schemas.openxmlformats.org/officeDocument/2006/relationships" ref="AM6" display="https://www.bigmint.co/prices/detail/pig-iron-dap-ludhiana-india-1108-f-INR" r:id="rId25"/>
    <hyperlink xmlns:r="http://schemas.openxmlformats.org/officeDocument/2006/relationships" ref="B7" display="https://www.bigmint.co/prices/ferrous/scrap-metallics/pig-iron" r:id="rId26"/>
    <hyperlink xmlns:r="http://schemas.openxmlformats.org/officeDocument/2006/relationships" ref="C7" display="https://www.bigmint.co/prices/detail/pig-iron-exw-durgapur-india-1105-f-INR" r:id="rId27"/>
    <hyperlink xmlns:r="http://schemas.openxmlformats.org/officeDocument/2006/relationships" ref="AK7" r:id="rId28"/>
    <hyperlink xmlns:r="http://schemas.openxmlformats.org/officeDocument/2006/relationships" ref="AL7" display="https://www.bigmint.co/prices/ferrous/scrap-metallics/pig-iron" r:id="rId29"/>
    <hyperlink xmlns:r="http://schemas.openxmlformats.org/officeDocument/2006/relationships" ref="AM7" display="https://www.bigmint.co/prices/detail/pig-iron-exw-durgapur-india-1105-f-INR" r:id="rId30"/>
    <hyperlink xmlns:r="http://schemas.openxmlformats.org/officeDocument/2006/relationships" ref="B8" display="https://www.bigmint.co/prices/ferrous/scrap-metallics/melting-scrap" r:id="rId31"/>
    <hyperlink xmlns:r="http://schemas.openxmlformats.org/officeDocument/2006/relationships" ref="C8" display="https://www.bigmint.co/prices/detail/melting-scrap-dap-raipur-india-1040-f-INR" r:id="rId32"/>
    <hyperlink xmlns:r="http://schemas.openxmlformats.org/officeDocument/2006/relationships" ref="AK8" r:id="rId33"/>
    <hyperlink xmlns:r="http://schemas.openxmlformats.org/officeDocument/2006/relationships" ref="AL8" display="https://www.bigmint.co/prices/ferrous/scrap-metallics/melting-scrap" r:id="rId34"/>
    <hyperlink xmlns:r="http://schemas.openxmlformats.org/officeDocument/2006/relationships" ref="AM8" display="https://www.bigmint.co/prices/detail/melting-scrap-dap-raipur-india-1040-f-INR" r:id="rId35"/>
    <hyperlink xmlns:r="http://schemas.openxmlformats.org/officeDocument/2006/relationships" ref="B9" display="https://www.bigmint.co/prices/ferrous/scrap-metallics/melting-scrap" r:id="rId36"/>
    <hyperlink xmlns:r="http://schemas.openxmlformats.org/officeDocument/2006/relationships" ref="C9" display="https://www.bigmint.co/prices/detail/melting-scrap-dap-raipur-india-1041-f-INR" r:id="rId37"/>
    <hyperlink xmlns:r="http://schemas.openxmlformats.org/officeDocument/2006/relationships" ref="AK9" r:id="rId38"/>
    <hyperlink xmlns:r="http://schemas.openxmlformats.org/officeDocument/2006/relationships" ref="AL9" display="https://www.bigmint.co/prices/ferrous/scrap-metallics/melting-scrap" r:id="rId39"/>
    <hyperlink xmlns:r="http://schemas.openxmlformats.org/officeDocument/2006/relationships" ref="AM9" display="https://www.bigmint.co/prices/detail/melting-scrap-dap-raipur-india-1041-f-INR" r:id="rId40"/>
    <hyperlink xmlns:r="http://schemas.openxmlformats.org/officeDocument/2006/relationships" ref="B10" display="https://www.bigmint.co/prices/ferrous/scrap-metallics/sponge-iron" r:id="rId41"/>
    <hyperlink xmlns:r="http://schemas.openxmlformats.org/officeDocument/2006/relationships" ref="C10" display="https://www.bigmint.co/prices/detail/sponge-iron-pdri-exw-raipur-india-1091-f-INR" r:id="rId42"/>
    <hyperlink xmlns:r="http://schemas.openxmlformats.org/officeDocument/2006/relationships" ref="AK10" r:id="rId43"/>
    <hyperlink xmlns:r="http://schemas.openxmlformats.org/officeDocument/2006/relationships" ref="AL10" display="https://www.bigmint.co/prices/ferrous/scrap-metallics/sponge-iron" r:id="rId44"/>
    <hyperlink xmlns:r="http://schemas.openxmlformats.org/officeDocument/2006/relationships" ref="AM10" display="https://www.bigmint.co/prices/detail/sponge-iron-pdri-exw-raipur-india-1091-f-INR" r:id="rId45"/>
    <hyperlink xmlns:r="http://schemas.openxmlformats.org/officeDocument/2006/relationships" ref="B11" display="https://www.bigmint.co/prices/ferrous/steel/rebar" r:id="rId46"/>
    <hyperlink xmlns:r="http://schemas.openxmlformats.org/officeDocument/2006/relationships" ref="C11" display="https://www.bigmint.co/prices/detail/rebar-exw-mumbai-india-1122-f-INR" r:id="rId47"/>
    <hyperlink xmlns:r="http://schemas.openxmlformats.org/officeDocument/2006/relationships" ref="AK11" r:id="rId48"/>
    <hyperlink xmlns:r="http://schemas.openxmlformats.org/officeDocument/2006/relationships" ref="AL11" display="https://www.bigmint.co/prices/ferrous/steel/rebar" r:id="rId49"/>
    <hyperlink xmlns:r="http://schemas.openxmlformats.org/officeDocument/2006/relationships" ref="AM11" display="https://www.bigmint.co/prices/detail/rebar-exw-mumbai-india-1122-f-INR" r:id="rId50"/>
    <hyperlink xmlns:r="http://schemas.openxmlformats.org/officeDocument/2006/relationships" ref="B12" display="https://www.bigmint.co/prices/ferrous/steel/rebar" r:id="rId51"/>
    <hyperlink xmlns:r="http://schemas.openxmlformats.org/officeDocument/2006/relationships" ref="C12" display="https://www.bigmint.co/prices/detail/rebar-exw-raipur-india-1117-f-INR" r:id="rId52"/>
    <hyperlink xmlns:r="http://schemas.openxmlformats.org/officeDocument/2006/relationships" ref="AK12" r:id="rId53"/>
    <hyperlink xmlns:r="http://schemas.openxmlformats.org/officeDocument/2006/relationships" ref="AL12" display="https://www.bigmint.co/prices/ferrous/steel/rebar" r:id="rId54"/>
    <hyperlink xmlns:r="http://schemas.openxmlformats.org/officeDocument/2006/relationships" ref="AM12" display="https://www.bigmint.co/prices/detail/rebar-exw-raipur-india-1117-f-INR" r:id="rId55"/>
    <hyperlink xmlns:r="http://schemas.openxmlformats.org/officeDocument/2006/relationships" ref="B13" display="https://www.bigmint.co/prices/ferrous/steel/rebar" r:id="rId56"/>
    <hyperlink xmlns:r="http://schemas.openxmlformats.org/officeDocument/2006/relationships" ref="C13" display="https://www.bigmint.co/prices/detail/rebar-exy-mumbai-india-1127-f-INR" r:id="rId57"/>
    <hyperlink xmlns:r="http://schemas.openxmlformats.org/officeDocument/2006/relationships" ref="AK13" r:id="rId58"/>
    <hyperlink xmlns:r="http://schemas.openxmlformats.org/officeDocument/2006/relationships" ref="AL13" display="https://www.bigmint.co/prices/ferrous/steel/rebar" r:id="rId59"/>
    <hyperlink xmlns:r="http://schemas.openxmlformats.org/officeDocument/2006/relationships" ref="AM13" display="https://www.bigmint.co/prices/detail/rebar-exy-mumbai-india-1127-f-INR" r:id="rId60"/>
    <hyperlink xmlns:r="http://schemas.openxmlformats.org/officeDocument/2006/relationships" ref="B14" display="https://www.bigmint.co/prices/ferrous/steel/billetbloomingot" r:id="rId61"/>
    <hyperlink xmlns:r="http://schemas.openxmlformats.org/officeDocument/2006/relationships" ref="C14" display="https://www.bigmint.co/prices/detail/billet-index-exw-raipur-india-1067-f-INR" r:id="rId62"/>
    <hyperlink xmlns:r="http://schemas.openxmlformats.org/officeDocument/2006/relationships" ref="AK14" r:id="rId63"/>
    <hyperlink xmlns:r="http://schemas.openxmlformats.org/officeDocument/2006/relationships" ref="AL14" display="https://www.bigmint.co/prices/ferrous/steel/billetbloomingot" r:id="rId64"/>
    <hyperlink xmlns:r="http://schemas.openxmlformats.org/officeDocument/2006/relationships" ref="AM14" display="https://www.bigmint.co/prices/detail/billet-index-exw-raipur-india-1067-f-INR" r:id="rId65"/>
    <hyperlink xmlns:r="http://schemas.openxmlformats.org/officeDocument/2006/relationships" ref="B15" display="https://www.bigmint.co/prices/ferrous/steel/billetbloomingot" r:id="rId66"/>
    <hyperlink xmlns:r="http://schemas.openxmlformats.org/officeDocument/2006/relationships" ref="C15" display="https://www.bigmint.co/prices/detail/ingot-exw-raipur-india-1275-f-INR" r:id="rId67"/>
    <hyperlink xmlns:r="http://schemas.openxmlformats.org/officeDocument/2006/relationships" ref="AK15" r:id="rId68"/>
    <hyperlink xmlns:r="http://schemas.openxmlformats.org/officeDocument/2006/relationships" ref="AL15" display="https://www.bigmint.co/prices/ferrous/steel/billetbloomingot" r:id="rId69"/>
    <hyperlink xmlns:r="http://schemas.openxmlformats.org/officeDocument/2006/relationships" ref="AM15" display="https://www.bigmint.co/prices/detail/ingot-exw-raipur-india-1275-f-INR" r:id="rId70"/>
    <hyperlink xmlns:r="http://schemas.openxmlformats.org/officeDocument/2006/relationships" ref="B16" display="https://www.bigmint.co/prices/ferrous/iron-ore/pellets" r:id="rId71"/>
    <hyperlink xmlns:r="http://schemas.openxmlformats.org/officeDocument/2006/relationships" ref="C16" display="https://www.bigmint.co/prices/detail/pellet-index-pellex-dap-raipur-india-1401-f-INR" r:id="rId72"/>
    <hyperlink xmlns:r="http://schemas.openxmlformats.org/officeDocument/2006/relationships" ref="AK16" r:id="rId73"/>
    <hyperlink xmlns:r="http://schemas.openxmlformats.org/officeDocument/2006/relationships" ref="AL16" display="https://www.bigmint.co/prices/ferrous/iron-ore/pellets" r:id="rId74"/>
    <hyperlink xmlns:r="http://schemas.openxmlformats.org/officeDocument/2006/relationships" ref="AM16" display="https://www.bigmint.co/prices/detail/pellet-index-pellex-dap-raipur-india-1401-f-INR" r:id="rId75"/>
    <hyperlink xmlns:r="http://schemas.openxmlformats.org/officeDocument/2006/relationships" ref="B17" display="https://www.bigmint.co/prices/ferrous/steel/hrc" r:id="rId76"/>
    <hyperlink xmlns:r="http://schemas.openxmlformats.org/officeDocument/2006/relationships" ref="C17" display="https://www.bigmint.co/prices/detail/hrc-exy-mumbai-india-1234-f-INR" r:id="rId77"/>
    <hyperlink xmlns:r="http://schemas.openxmlformats.org/officeDocument/2006/relationships" ref="AK17" r:id="rId78"/>
    <hyperlink xmlns:r="http://schemas.openxmlformats.org/officeDocument/2006/relationships" ref="AL17" display="https://www.bigmint.co/prices/ferrous/steel/hrc" r:id="rId79"/>
    <hyperlink xmlns:r="http://schemas.openxmlformats.org/officeDocument/2006/relationships" ref="AM17" display="https://www.bigmint.co/prices/detail/hrc-exy-mumbai-india-1234-f-INR" r:id="rId80"/>
    <hyperlink xmlns:r="http://schemas.openxmlformats.org/officeDocument/2006/relationships" ref="B18" display="https://www.bigmint.co/prices/ferrous/steel/crc" r:id="rId81"/>
    <hyperlink xmlns:r="http://schemas.openxmlformats.org/officeDocument/2006/relationships" ref="C18" display="https://www.bigmint.co/prices/detail/crc-exy-mumbai-india-1243-f-INR" r:id="rId82"/>
    <hyperlink xmlns:r="http://schemas.openxmlformats.org/officeDocument/2006/relationships" ref="AK18" r:id="rId83"/>
    <hyperlink xmlns:r="http://schemas.openxmlformats.org/officeDocument/2006/relationships" ref="AL18" display="https://www.bigmint.co/prices/ferrous/steel/crc" r:id="rId84"/>
    <hyperlink xmlns:r="http://schemas.openxmlformats.org/officeDocument/2006/relationships" ref="AM18" display="https://www.bigmint.co/prices/detail/crc-exy-mumbai-india-1243-f-INR" r:id="rId85"/>
    <hyperlink xmlns:r="http://schemas.openxmlformats.org/officeDocument/2006/relationships" ref="B19" display="https://www.bigmint.co/prices/ferrous/steel/hr-plate" r:id="rId86"/>
    <hyperlink xmlns:r="http://schemas.openxmlformats.org/officeDocument/2006/relationships" ref="C19" display="https://www.bigmint.co/prices/detail/hr-plate-exy-mumbai-india-1496-f-INR" r:id="rId87"/>
    <hyperlink xmlns:r="http://schemas.openxmlformats.org/officeDocument/2006/relationships" ref="AK19" r:id="rId88"/>
    <hyperlink xmlns:r="http://schemas.openxmlformats.org/officeDocument/2006/relationships" ref="AL19" display="https://www.bigmint.co/prices/ferrous/steel/hr-plate" r:id="rId89"/>
    <hyperlink xmlns:r="http://schemas.openxmlformats.org/officeDocument/2006/relationships" ref="AM19" display="https://www.bigmint.co/prices/detail/hr-plate-exy-mumbai-india-1496-f-INR" r:id="rId90"/>
    <hyperlink xmlns:r="http://schemas.openxmlformats.org/officeDocument/2006/relationships" ref="B20" display="https://www.bigmint.co/prices/ferrous/steel/gp" r:id="rId91"/>
    <hyperlink xmlns:r="http://schemas.openxmlformats.org/officeDocument/2006/relationships" ref="C20" display="https://www.bigmint.co/prices/detail/gp-exy-mumbai-india-1678-f-INR" r:id="rId92"/>
    <hyperlink xmlns:r="http://schemas.openxmlformats.org/officeDocument/2006/relationships" ref="AK20" r:id="rId93"/>
    <hyperlink xmlns:r="http://schemas.openxmlformats.org/officeDocument/2006/relationships" ref="AL20" display="https://www.bigmint.co/prices/ferrous/steel/gp" r:id="rId94"/>
    <hyperlink xmlns:r="http://schemas.openxmlformats.org/officeDocument/2006/relationships" ref="AM20" display="https://www.bigmint.co/prices/detail/gp-exy-mumbai-india-1678-f-INR" r:id="rId95"/>
    <hyperlink xmlns:r="http://schemas.openxmlformats.org/officeDocument/2006/relationships" ref="B21" display="https://www.bigmint.co/prices/ferrous/steel/pipes" r:id="rId96"/>
    <hyperlink xmlns:r="http://schemas.openxmlformats.org/officeDocument/2006/relationships" ref="C21" display="https://www.bigmint.co/prices/detail/erw-pipe-hr-coil-based-exy-mumbai-india-1475-f-INR" r:id="rId97"/>
    <hyperlink xmlns:r="http://schemas.openxmlformats.org/officeDocument/2006/relationships" ref="AK21" r:id="rId98"/>
    <hyperlink xmlns:r="http://schemas.openxmlformats.org/officeDocument/2006/relationships" ref="AL21" display="https://www.bigmint.co/prices/ferrous/steel/pipes" r:id="rId99"/>
    <hyperlink xmlns:r="http://schemas.openxmlformats.org/officeDocument/2006/relationships" ref="AM21" display="https://www.bigmint.co/prices/detail/erw-pipe-hr-coil-based-exy-mumbai-india-1475-f-INR" r:id="rId100"/>
    <hyperlink xmlns:r="http://schemas.openxmlformats.org/officeDocument/2006/relationships" ref="B22" display="https://www.bigmint.co/prices/ferrous/steel/pipes" r:id="rId101"/>
    <hyperlink xmlns:r="http://schemas.openxmlformats.org/officeDocument/2006/relationships" ref="C22" display="https://www.bigmint.co/prices/detail/erw-pipe-hr-coil-based-exy-delhi-india-1426-f-INR" r:id="rId102"/>
    <hyperlink xmlns:r="http://schemas.openxmlformats.org/officeDocument/2006/relationships" ref="AK22" r:id="rId103"/>
    <hyperlink xmlns:r="http://schemas.openxmlformats.org/officeDocument/2006/relationships" ref="AL22" display="https://www.bigmint.co/prices/ferrous/steel/pipes" r:id="rId104"/>
    <hyperlink xmlns:r="http://schemas.openxmlformats.org/officeDocument/2006/relationships" ref="AM22" display="https://www.bigmint.co/prices/detail/erw-pipe-hr-coil-based-exy-delhi-india-1426-f-INR" r:id="rId105"/>
    <hyperlink xmlns:r="http://schemas.openxmlformats.org/officeDocument/2006/relationships" ref="AK23" r:id="rId106"/>
    <hyperlink xmlns:r="http://schemas.openxmlformats.org/officeDocument/2006/relationships" ref="AK24" r:id="rId107"/>
    <hyperlink xmlns:r="http://schemas.openxmlformats.org/officeDocument/2006/relationships" ref="AK25" r:id="rId10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topLeftCell="B1" zoomScale="70" workbookViewId="0">
      <selection activeCell="A1" sqref="A1:R9"/>
    </sheetView>
  </sheetViews>
  <sheetFormatPr baseColWidth="8" defaultRowHeight="14.4"/>
  <cols>
    <col width="35.88671875" bestFit="1" customWidth="1" min="1" max="1"/>
    <col width="15" bestFit="1" customWidth="1" style="21" min="2" max="2"/>
    <col width="10.21875" bestFit="1" customWidth="1" style="21" min="3" max="3"/>
    <col width="10" bestFit="1" customWidth="1" style="21" min="4" max="4"/>
    <col width="10" customWidth="1" style="21" min="5" max="5"/>
    <col width="15" bestFit="1" customWidth="1" style="21" min="6" max="6"/>
    <col width="10.21875" bestFit="1" customWidth="1" style="21" min="7" max="7"/>
    <col width="10" bestFit="1" customWidth="1" style="21" min="8" max="8"/>
    <col width="10" customWidth="1" style="21" min="9" max="9"/>
    <col width="15" bestFit="1" customWidth="1" style="21" min="10" max="10"/>
    <col width="10.21875" bestFit="1" customWidth="1" style="21" min="11" max="11"/>
    <col width="10" bestFit="1" customWidth="1" style="21" min="12" max="12"/>
    <col width="10" customWidth="1" style="21" min="13" max="13"/>
    <col width="15" bestFit="1" customWidth="1" style="21" min="14" max="14"/>
    <col width="10.21875" bestFit="1" customWidth="1" style="21" min="15" max="15"/>
    <col width="10" bestFit="1" customWidth="1" style="21" min="16" max="16"/>
    <col width="10" customWidth="1" style="21" min="17" max="17"/>
    <col width="59.88671875" bestFit="1" customWidth="1" style="21" min="18" max="18"/>
  </cols>
  <sheetData>
    <row r="1" ht="16.05" customHeight="1">
      <c r="A1" s="60" t="inlineStr">
        <is>
          <t>Material</t>
        </is>
      </c>
      <c r="B1" s="57" t="inlineStr">
        <is>
          <t>April'26</t>
        </is>
      </c>
      <c r="C1" s="58" t="n"/>
      <c r="D1" s="58" t="n"/>
      <c r="E1" s="59" t="n"/>
      <c r="F1" s="57" t="inlineStr">
        <is>
          <t>May'26</t>
        </is>
      </c>
      <c r="G1" s="58" t="n"/>
      <c r="H1" s="58" t="n"/>
      <c r="I1" s="59" t="n"/>
      <c r="J1" s="57" t="inlineStr">
        <is>
          <t>June'26</t>
        </is>
      </c>
      <c r="K1" s="58" t="n"/>
      <c r="L1" s="58" t="n"/>
      <c r="M1" s="59" t="n"/>
      <c r="N1" s="57" t="inlineStr">
        <is>
          <t>July'26</t>
        </is>
      </c>
      <c r="O1" s="58" t="n"/>
      <c r="P1" s="58" t="n"/>
      <c r="Q1" s="59" t="n"/>
      <c r="R1" s="57" t="inlineStr">
        <is>
          <t>URL</t>
        </is>
      </c>
      <c r="S1" s="46" t="n"/>
      <c r="T1" s="34" t="n"/>
      <c r="U1" s="34" t="n"/>
      <c r="V1" s="34" t="n"/>
    </row>
    <row r="2">
      <c r="A2" s="61" t="n"/>
      <c r="B2" s="53" t="inlineStr">
        <is>
          <t>Country Currency</t>
        </is>
      </c>
      <c r="C2" s="53" t="inlineStr">
        <is>
          <t>In INR</t>
        </is>
      </c>
      <c r="D2" s="53" t="inlineStr">
        <is>
          <t>Duty Added</t>
        </is>
      </c>
      <c r="E2" s="53" t="inlineStr">
        <is>
          <t>Total</t>
        </is>
      </c>
      <c r="F2" s="53" t="inlineStr">
        <is>
          <t>Country Currency</t>
        </is>
      </c>
      <c r="G2" s="53" t="inlineStr">
        <is>
          <t>In INR</t>
        </is>
      </c>
      <c r="H2" s="53" t="inlineStr">
        <is>
          <t>Duty Added</t>
        </is>
      </c>
      <c r="I2" s="53" t="inlineStr">
        <is>
          <t>Total</t>
        </is>
      </c>
      <c r="J2" s="53" t="inlineStr">
        <is>
          <t>Country Currency</t>
        </is>
      </c>
      <c r="K2" s="53" t="inlineStr">
        <is>
          <t>In INR</t>
        </is>
      </c>
      <c r="L2" s="53" t="inlineStr">
        <is>
          <t>Duty Added</t>
        </is>
      </c>
      <c r="M2" s="53" t="inlineStr">
        <is>
          <t>Total</t>
        </is>
      </c>
      <c r="N2" s="53" t="inlineStr">
        <is>
          <t>Country Currency</t>
        </is>
      </c>
      <c r="O2" s="53" t="inlineStr">
        <is>
          <t>In INR</t>
        </is>
      </c>
      <c r="P2" s="53" t="inlineStr">
        <is>
          <t>Duty Added</t>
        </is>
      </c>
      <c r="Q2" s="53" t="inlineStr">
        <is>
          <t>Total</t>
        </is>
      </c>
      <c r="R2" s="61" t="n"/>
    </row>
    <row r="3">
      <c r="A3" s="1" t="inlineStr">
        <is>
          <t>HRC, Exw-Tianjin, China</t>
        </is>
      </c>
      <c r="B3" s="74" t="n">
        <v>3149.55</v>
      </c>
      <c r="C3" s="74">
        <f>B3*14.26</f>
        <v/>
      </c>
      <c r="D3" s="74">
        <f>C3*11.5%</f>
        <v/>
      </c>
      <c r="E3" s="75">
        <f>C3+D3</f>
        <v/>
      </c>
      <c r="F3" s="74" t="n">
        <v>3272.78</v>
      </c>
      <c r="G3" s="74">
        <f>F3*14.26</f>
        <v/>
      </c>
      <c r="H3" s="74">
        <f>G3*11.5%</f>
        <v/>
      </c>
      <c r="I3" s="75">
        <f>G3+H3</f>
        <v/>
      </c>
      <c r="J3" s="74" t="n">
        <v>3183.33</v>
      </c>
      <c r="K3" s="74">
        <f>J3*14.26</f>
        <v/>
      </c>
      <c r="L3" s="74">
        <f>K3*11.5%</f>
        <v/>
      </c>
      <c r="M3" s="75">
        <f>K3+L3</f>
        <v/>
      </c>
      <c r="N3" s="74" t="n">
        <v>3111.33</v>
      </c>
      <c r="O3" s="74">
        <f>N3*14.26</f>
        <v/>
      </c>
      <c r="P3" s="74">
        <f>O3*11.5%</f>
        <v/>
      </c>
      <c r="Q3" s="75">
        <f>O3+P3</f>
        <v/>
      </c>
      <c r="R3" s="50" t="inlineStr">
        <is>
          <t>https://www.bigmint.co/prices/detail/hrc-exw-tianjin-china-3108-f-rmb</t>
        </is>
      </c>
    </row>
    <row r="4">
      <c r="A4" s="1" t="inlineStr">
        <is>
          <t>HRC, FOB Rizhao, China</t>
        </is>
      </c>
      <c r="B4" s="74" t="n">
        <v>505</v>
      </c>
      <c r="C4" s="74">
        <f>B4*96.47</f>
        <v/>
      </c>
      <c r="D4" s="74">
        <f>C4*11.5%</f>
        <v/>
      </c>
      <c r="E4" s="75">
        <f>C4+D4</f>
        <v/>
      </c>
      <c r="F4" s="74" t="n">
        <v>517.5</v>
      </c>
      <c r="G4" s="74">
        <f>F4*96.47</f>
        <v/>
      </c>
      <c r="H4" s="74">
        <f>G4*11.5%</f>
        <v/>
      </c>
      <c r="I4" s="75">
        <f>G4+H4</f>
        <v/>
      </c>
      <c r="J4" s="74" t="n">
        <v>516</v>
      </c>
      <c r="K4" s="74">
        <f>J4*96.47</f>
        <v/>
      </c>
      <c r="L4" s="74">
        <f>K4*11.5%</f>
        <v/>
      </c>
      <c r="M4" s="75">
        <f>K4+L4</f>
        <v/>
      </c>
      <c r="N4" s="74" t="n">
        <v>498.33</v>
      </c>
      <c r="O4" s="74">
        <f>N4*96.47</f>
        <v/>
      </c>
      <c r="P4" s="74">
        <f>O4*11.5%</f>
        <v/>
      </c>
      <c r="Q4" s="75">
        <f>O4+P4</f>
        <v/>
      </c>
      <c r="R4" s="50" t="inlineStr">
        <is>
          <t>https://www.bigmint.co/prices/detail/hrc-fob-rizhao-china-55-fob-usd</t>
        </is>
      </c>
    </row>
    <row r="5">
      <c r="A5" s="1" t="inlineStr">
        <is>
          <t xml:space="preserve">HRC, FOB Tokyo, Japan </t>
        </is>
      </c>
      <c r="B5" s="74" t="n">
        <v>98000</v>
      </c>
      <c r="C5" s="74">
        <f>B5*0.59</f>
        <v/>
      </c>
      <c r="D5" s="74">
        <f>C5*11.5%</f>
        <v/>
      </c>
      <c r="E5" s="75">
        <f>C5+D5</f>
        <v/>
      </c>
      <c r="F5" s="74" t="n">
        <v>98000</v>
      </c>
      <c r="G5" s="74">
        <f>F5*0.59</f>
        <v/>
      </c>
      <c r="H5" s="74">
        <f>G5*11.5%</f>
        <v/>
      </c>
      <c r="I5" s="75">
        <f>G5+H5</f>
        <v/>
      </c>
      <c r="J5" s="76" t="n">
        <v>0</v>
      </c>
      <c r="K5" s="74">
        <f>J5*0.59</f>
        <v/>
      </c>
      <c r="L5" s="74">
        <f>K5*11.5%</f>
        <v/>
      </c>
      <c r="M5" s="75">
        <f>K5+L5</f>
        <v/>
      </c>
      <c r="N5" s="74" t="n">
        <v>100000</v>
      </c>
      <c r="O5" s="74">
        <f>N5*0.59</f>
        <v/>
      </c>
      <c r="P5" s="74">
        <f>O5*11.5%</f>
        <v/>
      </c>
      <c r="Q5" s="75">
        <f>O5+P5</f>
        <v/>
      </c>
      <c r="R5" s="50" t="inlineStr">
        <is>
          <t>https://www.bigmint.co/prices/detail/hrc-tokyo-steel-fot-3105-f-yen</t>
        </is>
      </c>
    </row>
    <row r="6">
      <c r="A6" s="1" t="inlineStr">
        <is>
          <t>HRC, Futures (SHFE), China</t>
        </is>
      </c>
      <c r="B6" s="74" t="n">
        <v>3324</v>
      </c>
      <c r="C6" s="74">
        <f>B6*14.26</f>
        <v/>
      </c>
      <c r="D6" s="74">
        <f>C6*11.5%</f>
        <v/>
      </c>
      <c r="E6" s="75">
        <f>C6+D6</f>
        <v/>
      </c>
      <c r="F6" s="76" t="n">
        <v>0</v>
      </c>
      <c r="G6" s="74">
        <f>F6*14.26</f>
        <v/>
      </c>
      <c r="H6" s="74">
        <f>G6*11.5%</f>
        <v/>
      </c>
      <c r="I6" s="75">
        <f>G6+H6</f>
        <v/>
      </c>
      <c r="J6" s="74" t="n">
        <v>3356.05</v>
      </c>
      <c r="K6" s="74">
        <f>J6*14.26</f>
        <v/>
      </c>
      <c r="L6" s="74">
        <f>K6*11.5%</f>
        <v/>
      </c>
      <c r="M6" s="75">
        <f>K6+L6</f>
        <v/>
      </c>
      <c r="N6" s="74" t="n">
        <v>3295.56</v>
      </c>
      <c r="O6" s="74">
        <f>N6*14.26</f>
        <v/>
      </c>
      <c r="P6" s="74">
        <f>O6*11.5%</f>
        <v/>
      </c>
      <c r="Q6" s="75">
        <f>O6+P6</f>
        <v/>
      </c>
      <c r="R6" s="50" t="inlineStr">
        <is>
          <t>https://www.bigmint.co/prices/detail/hrc-futures-shfe-china-oct-2025-3017-f-rmb</t>
        </is>
      </c>
    </row>
    <row r="7">
      <c r="A7" s="1" t="inlineStr">
        <is>
          <t>HRC (2.5-8mm, IS2062) Gr-E-350 (Mumbai)</t>
        </is>
      </c>
      <c r="B7" s="74" t="n">
        <v>62062.5</v>
      </c>
      <c r="C7" s="74" t="n">
        <v>62062.5</v>
      </c>
      <c r="D7" s="74" t="n">
        <v>0</v>
      </c>
      <c r="E7" s="75">
        <f>C7+D7</f>
        <v/>
      </c>
      <c r="F7" s="74" t="n">
        <v>61455.56</v>
      </c>
      <c r="G7" s="74" t="n">
        <v>61455.56</v>
      </c>
      <c r="H7" s="74" t="n">
        <v>0</v>
      </c>
      <c r="I7" s="75">
        <f>G7+H7</f>
        <v/>
      </c>
      <c r="J7" s="74" t="n">
        <v>61266.67</v>
      </c>
      <c r="K7" s="74" t="n">
        <v>61266.67</v>
      </c>
      <c r="L7" s="74" t="n">
        <v>0</v>
      </c>
      <c r="M7" s="75">
        <f>K7+L7</f>
        <v/>
      </c>
      <c r="N7" s="74" t="n">
        <v>60966.67</v>
      </c>
      <c r="O7" s="74" t="n">
        <v>60966.67</v>
      </c>
      <c r="P7" s="74" t="n">
        <v>0</v>
      </c>
      <c r="Q7" s="75">
        <f>O7+P7</f>
        <v/>
      </c>
      <c r="R7" s="50" t="inlineStr">
        <is>
          <t>https://www.bigmint.co/prices/detail/hrc-exy-mumbai-india-1661-f-inr</t>
        </is>
      </c>
    </row>
    <row r="8">
      <c r="A8" s="1" t="inlineStr">
        <is>
          <t>HRC (1.8mm, IS2062) Gr-E-250 (Mumbai)</t>
        </is>
      </c>
      <c r="B8" s="74" t="n">
        <v>60562.5</v>
      </c>
      <c r="C8" s="74" t="n">
        <v>60562.5</v>
      </c>
      <c r="D8" s="74" t="n">
        <v>0</v>
      </c>
      <c r="E8" s="75">
        <f>C8+D8</f>
        <v/>
      </c>
      <c r="F8" s="74" t="n">
        <v>59955.56</v>
      </c>
      <c r="G8" s="74" t="n">
        <v>59955.56</v>
      </c>
      <c r="H8" s="74" t="n">
        <v>0</v>
      </c>
      <c r="I8" s="75">
        <f>G8+H8</f>
        <v/>
      </c>
      <c r="J8" s="74" t="n">
        <v>61266.67</v>
      </c>
      <c r="K8" s="74" t="n">
        <v>61266.67</v>
      </c>
      <c r="L8" s="74" t="n">
        <v>0</v>
      </c>
      <c r="M8" s="75">
        <f>K8+L8</f>
        <v/>
      </c>
      <c r="N8" s="74" t="n">
        <v>60966.67</v>
      </c>
      <c r="O8" s="74" t="n">
        <v>60966.67</v>
      </c>
      <c r="P8" s="74" t="n">
        <v>0</v>
      </c>
      <c r="Q8" s="75">
        <f>O8+P8</f>
        <v/>
      </c>
      <c r="R8" s="50" t="inlineStr">
        <is>
          <t>https://www.bigmint.co/prices/detail/hrc-exy-mumbai-india-1436-f-inr</t>
        </is>
      </c>
    </row>
    <row r="9">
      <c r="A9" s="1" t="inlineStr">
        <is>
          <t>HRC (2.5-8mm, IS2062) Gr-E-250 (Mumbai)</t>
        </is>
      </c>
      <c r="B9" s="74" t="n">
        <v>59062.5</v>
      </c>
      <c r="C9" s="74" t="n">
        <v>59062.5</v>
      </c>
      <c r="D9" s="74" t="n">
        <v>0</v>
      </c>
      <c r="E9" s="75">
        <f>C9+D9</f>
        <v/>
      </c>
      <c r="F9" s="74" t="n">
        <v>58455.56</v>
      </c>
      <c r="G9" s="74" t="n">
        <v>58455.56</v>
      </c>
      <c r="H9" s="74" t="n">
        <v>0</v>
      </c>
      <c r="I9" s="75">
        <f>G9+H9</f>
        <v/>
      </c>
      <c r="J9" s="74" t="n">
        <v>58266.67</v>
      </c>
      <c r="K9" s="74" t="n">
        <v>58266.67</v>
      </c>
      <c r="L9" s="74" t="n">
        <v>0</v>
      </c>
      <c r="M9" s="75">
        <f>K9+L9</f>
        <v/>
      </c>
      <c r="N9" s="74" t="n">
        <v>57966.67</v>
      </c>
      <c r="O9" s="74" t="n">
        <v>57966.67</v>
      </c>
      <c r="P9" s="74" t="n">
        <v>0</v>
      </c>
      <c r="Q9" s="75">
        <f>O9+P9</f>
        <v/>
      </c>
      <c r="R9" s="50" t="inlineStr">
        <is>
          <t>https://www.bigmint.co/prices/detail/hrc-exy-mumbai-india-1234-f-inr</t>
        </is>
      </c>
    </row>
    <row r="14">
      <c r="P14" s="77" t="n"/>
    </row>
    <row r="17">
      <c r="H17" s="21" t="inlineStr">
        <is>
          <t>_</t>
        </is>
      </c>
    </row>
  </sheetData>
  <mergeCells count="6">
    <mergeCell ref="B1:E1"/>
    <mergeCell ref="F1:I1"/>
    <mergeCell ref="N1:Q1"/>
    <mergeCell ref="A1:A2"/>
    <mergeCell ref="J1:M1"/>
    <mergeCell ref="R1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C10" sqref="C10"/>
    </sheetView>
  </sheetViews>
  <sheetFormatPr baseColWidth="8" defaultRowHeight="14.4"/>
  <cols>
    <col width="47.21875" bestFit="1" customWidth="1" min="1" max="1"/>
    <col width="15" bestFit="1" customWidth="1" style="21" min="2" max="2"/>
    <col width="10.21875" bestFit="1" customWidth="1" style="21" min="3" max="3"/>
    <col width="10" bestFit="1" customWidth="1" style="21" min="4" max="4"/>
    <col width="10" customWidth="1" style="21" min="5" max="5"/>
    <col width="15" bestFit="1" customWidth="1" style="21" min="6" max="6"/>
    <col width="10.21875" bestFit="1" customWidth="1" style="21" min="7" max="7"/>
    <col width="10" bestFit="1" customWidth="1" style="21" min="8" max="8"/>
    <col width="10" customWidth="1" style="21" min="9" max="9"/>
    <col width="15" bestFit="1" customWidth="1" style="21" min="10" max="10"/>
    <col width="10.21875" bestFit="1" customWidth="1" style="21" min="11" max="11"/>
    <col width="10" bestFit="1" customWidth="1" style="21" min="12" max="12"/>
    <col width="10" customWidth="1" style="21" min="13" max="13"/>
    <col width="15" bestFit="1" customWidth="1" style="21" min="14" max="14"/>
    <col width="10.21875" bestFit="1" customWidth="1" style="21" min="15" max="15"/>
    <col width="10" bestFit="1" customWidth="1" style="21" min="16" max="16"/>
    <col width="10" customWidth="1" style="21" min="17" max="17"/>
    <col width="72.5546875" bestFit="1" customWidth="1" style="21" min="18" max="18"/>
  </cols>
  <sheetData>
    <row r="1" ht="16.05" customHeight="1">
      <c r="A1" s="60" t="inlineStr">
        <is>
          <t>Material</t>
        </is>
      </c>
      <c r="B1" s="62" t="inlineStr">
        <is>
          <t>April'26</t>
        </is>
      </c>
      <c r="C1" s="63" t="n"/>
      <c r="D1" s="63" t="n"/>
      <c r="E1" s="64" t="n"/>
      <c r="F1" s="62" t="inlineStr">
        <is>
          <t>May'26</t>
        </is>
      </c>
      <c r="G1" s="63" t="n"/>
      <c r="H1" s="63" t="n"/>
      <c r="I1" s="64" t="n"/>
      <c r="J1" s="62" t="inlineStr">
        <is>
          <t>June'26</t>
        </is>
      </c>
      <c r="K1" s="63" t="n"/>
      <c r="L1" s="63" t="n"/>
      <c r="M1" s="64" t="n"/>
      <c r="N1" s="62" t="inlineStr">
        <is>
          <t>July'26</t>
        </is>
      </c>
      <c r="O1" s="63" t="n"/>
      <c r="P1" s="63" t="n"/>
      <c r="Q1" s="64" t="n"/>
      <c r="R1" s="57" t="inlineStr">
        <is>
          <t>URL</t>
        </is>
      </c>
      <c r="S1" s="46" t="n"/>
      <c r="T1" s="34" t="n"/>
      <c r="U1" s="34" t="n"/>
      <c r="V1" s="34" t="n"/>
    </row>
    <row r="2">
      <c r="A2" s="61" t="n"/>
      <c r="B2" s="53" t="inlineStr">
        <is>
          <t>Country Currency</t>
        </is>
      </c>
      <c r="C2" s="53" t="inlineStr">
        <is>
          <t>In INR</t>
        </is>
      </c>
      <c r="D2" s="53" t="inlineStr">
        <is>
          <t>Duty Added</t>
        </is>
      </c>
      <c r="E2" s="53" t="inlineStr">
        <is>
          <t>Total</t>
        </is>
      </c>
      <c r="F2" s="53" t="inlineStr">
        <is>
          <t>Country Currency</t>
        </is>
      </c>
      <c r="G2" s="53" t="inlineStr">
        <is>
          <t>In INR</t>
        </is>
      </c>
      <c r="H2" s="53" t="inlineStr">
        <is>
          <t>Duty Added</t>
        </is>
      </c>
      <c r="I2" s="53" t="inlineStr">
        <is>
          <t>Total</t>
        </is>
      </c>
      <c r="J2" s="53" t="inlineStr">
        <is>
          <t>Country Currency</t>
        </is>
      </c>
      <c r="K2" s="53" t="inlineStr">
        <is>
          <t>In INR</t>
        </is>
      </c>
      <c r="L2" s="53" t="inlineStr">
        <is>
          <t>Duty Added</t>
        </is>
      </c>
      <c r="M2" s="53" t="inlineStr">
        <is>
          <t>Total</t>
        </is>
      </c>
      <c r="N2" s="53" t="inlineStr">
        <is>
          <t>Country Currency</t>
        </is>
      </c>
      <c r="O2" s="53" t="inlineStr">
        <is>
          <t>In INR</t>
        </is>
      </c>
      <c r="P2" s="53" t="inlineStr">
        <is>
          <t>Duty Added</t>
        </is>
      </c>
      <c r="Q2" s="53" t="inlineStr">
        <is>
          <t>Total</t>
        </is>
      </c>
      <c r="R2" s="61" t="n"/>
    </row>
    <row r="3">
      <c r="A3" s="1" t="inlineStr">
        <is>
          <t>Melting Scrap, Shagang Steel DAP Jiangsu, China</t>
        </is>
      </c>
      <c r="B3" s="74" t="n"/>
      <c r="C3" s="74" t="n"/>
      <c r="D3" s="74" t="n"/>
      <c r="E3" s="75" t="n"/>
      <c r="F3" s="74" t="n"/>
      <c r="G3" s="74" t="n"/>
      <c r="H3" s="74" t="n"/>
      <c r="I3" s="75" t="n"/>
      <c r="J3" s="74" t="n"/>
      <c r="K3" s="74" t="n"/>
      <c r="L3" s="74" t="n"/>
      <c r="M3" s="75" t="n"/>
      <c r="N3" s="74" t="n"/>
      <c r="O3" s="74" t="n"/>
      <c r="P3" s="74" t="n"/>
      <c r="Q3" s="75" t="n"/>
      <c r="R3" s="50" t="inlineStr">
        <is>
          <t>https://www.bigmint.co/prices/detail/melting-scrap-shagang-steel-dap-jiangsu-china-3007-f-RMB</t>
        </is>
      </c>
    </row>
    <row r="4">
      <c r="A4" s="56" t="inlineStr">
        <is>
          <t xml:space="preserve">Melting Scrap HMS bulk, CFR, China </t>
        </is>
      </c>
      <c r="B4" s="74" t="n"/>
      <c r="C4" s="74" t="n"/>
      <c r="D4" s="74" t="n"/>
      <c r="E4" s="75" t="n"/>
      <c r="F4" s="74" t="n"/>
      <c r="G4" s="74" t="n"/>
      <c r="H4" s="74" t="n"/>
      <c r="I4" s="75" t="n"/>
      <c r="J4" s="74" t="n"/>
      <c r="K4" s="74" t="n"/>
      <c r="L4" s="74" t="n"/>
      <c r="M4" s="75" t="n"/>
      <c r="N4" s="74" t="n"/>
      <c r="O4" s="74" t="n"/>
      <c r="P4" s="74" t="n"/>
      <c r="Q4" s="75" t="n"/>
      <c r="R4" s="50" t="inlineStr">
        <is>
          <t>https://www.bigmint.co/prices/detail/melting-scrap-hms-bulk-cfr-china-5427-cnf-USD</t>
        </is>
      </c>
    </row>
    <row r="5">
      <c r="A5" s="56" t="inlineStr">
        <is>
          <t>Melting Scrap Shredded, CFR, China</t>
        </is>
      </c>
      <c r="B5" s="74" t="n"/>
      <c r="C5" s="74" t="n"/>
      <c r="D5" s="74" t="n"/>
      <c r="E5" s="75" t="n"/>
      <c r="F5" s="74" t="n"/>
      <c r="G5" s="74" t="n"/>
      <c r="H5" s="74" t="n"/>
      <c r="I5" s="75" t="n"/>
      <c r="J5" s="74" t="n"/>
      <c r="K5" s="74" t="n"/>
      <c r="L5" s="74" t="n"/>
      <c r="M5" s="75" t="n"/>
      <c r="N5" s="74" t="n"/>
      <c r="O5" s="74" t="n"/>
      <c r="P5" s="74" t="n"/>
      <c r="Q5" s="75" t="n"/>
      <c r="R5" s="50" t="inlineStr">
        <is>
          <t>https://www.bigmint.co/prices/detail/melting-scrap-shredded-cfr-china-5429-cnf-USD</t>
        </is>
      </c>
    </row>
    <row r="6">
      <c r="A6" s="56" t="inlineStr">
        <is>
          <t>Melting Scrap, Tokyo Steel DAP Utsunomiya, Japan</t>
        </is>
      </c>
      <c r="B6" s="74" t="n"/>
      <c r="C6" s="74" t="n"/>
      <c r="D6" s="74" t="n"/>
      <c r="E6" s="75" t="n"/>
      <c r="F6" s="74" t="n"/>
      <c r="G6" s="74" t="n"/>
      <c r="H6" s="74" t="n"/>
      <c r="I6" s="75" t="n"/>
      <c r="J6" s="74" t="n"/>
      <c r="K6" s="74" t="n"/>
      <c r="L6" s="74" t="n"/>
      <c r="M6" s="75" t="n"/>
      <c r="N6" s="74" t="n"/>
      <c r="O6" s="74" t="n"/>
      <c r="P6" s="74" t="n"/>
      <c r="Q6" s="75" t="n"/>
      <c r="R6" s="50" t="inlineStr">
        <is>
          <t>https://www.bigmint.co/prices/detail/melting-scrap-tokyo-steel-dap-utsunomiya-japan-3002-f-YEN</t>
        </is>
      </c>
    </row>
    <row r="7">
      <c r="A7" s="56" t="inlineStr">
        <is>
          <t>Melting Scrap, Kanto Tetsugen Tender, FAS Japan</t>
        </is>
      </c>
      <c r="B7" s="74" t="n"/>
      <c r="C7" s="74" t="n"/>
      <c r="D7" s="74" t="n"/>
      <c r="E7" s="75" t="n"/>
      <c r="F7" s="74" t="n"/>
      <c r="G7" s="74" t="n"/>
      <c r="H7" s="74" t="n"/>
      <c r="I7" s="75" t="n"/>
      <c r="J7" s="74" t="n"/>
      <c r="K7" s="74" t="n"/>
      <c r="L7" s="74" t="n"/>
      <c r="M7" s="75" t="n"/>
      <c r="N7" s="74" t="n"/>
      <c r="O7" s="74" t="n"/>
      <c r="P7" s="74" t="n"/>
      <c r="Q7" s="75" t="n"/>
      <c r="R7" s="50" t="inlineStr">
        <is>
          <t>https://www.bigmint.co/prices/detail/melting-scrap-kanto-tetsugen-tender-fas-japan-3005-f-YEN</t>
        </is>
      </c>
    </row>
    <row r="8">
      <c r="A8" s="56" t="inlineStr">
        <is>
          <t xml:space="preserve">Melting Scrap, FOB Tokyo Bay, Japan </t>
        </is>
      </c>
      <c r="B8" s="74" t="n"/>
      <c r="C8" s="74" t="n"/>
      <c r="D8" s="74" t="n"/>
      <c r="E8" s="75" t="n"/>
      <c r="F8" s="74" t="n"/>
      <c r="G8" s="74" t="n"/>
      <c r="H8" s="74" t="n"/>
      <c r="I8" s="75" t="n"/>
      <c r="J8" s="74" t="n"/>
      <c r="K8" s="74" t="n"/>
      <c r="L8" s="74" t="n"/>
      <c r="M8" s="75" t="n"/>
      <c r="N8" s="74" t="n"/>
      <c r="O8" s="74" t="n"/>
      <c r="P8" s="74" t="n"/>
      <c r="Q8" s="75" t="n"/>
      <c r="R8" s="50" t="inlineStr">
        <is>
          <t>https://www.bigmint.co/prices/detail/melting-scrap-fob-tokyo-bay-japan-3001-f-YEN</t>
        </is>
      </c>
    </row>
    <row r="9">
      <c r="A9" s="1" t="n"/>
      <c r="B9" s="74" t="n"/>
      <c r="C9" s="74" t="n"/>
      <c r="D9" s="74" t="n"/>
      <c r="E9" s="75" t="n"/>
      <c r="F9" s="74" t="n"/>
      <c r="G9" s="74" t="n"/>
      <c r="H9" s="74" t="n"/>
      <c r="I9" s="75" t="n"/>
      <c r="J9" s="74" t="n"/>
      <c r="K9" s="74" t="n"/>
      <c r="L9" s="74" t="n"/>
      <c r="M9" s="75" t="n"/>
      <c r="N9" s="74" t="n"/>
      <c r="O9" s="74" t="n"/>
      <c r="P9" s="74" t="n"/>
      <c r="Q9" s="75" t="n"/>
      <c r="R9" s="50" t="n"/>
    </row>
    <row r="10">
      <c r="A10" s="1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</row>
    <row r="11">
      <c r="A11" s="1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</row>
    <row r="12">
      <c r="A12" s="1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</row>
    <row r="13">
      <c r="A13" s="1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</row>
    <row r="14">
      <c r="A14" s="1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78" t="n"/>
      <c r="Q14" s="48" t="n"/>
      <c r="R14" s="48" t="n"/>
    </row>
    <row r="15">
      <c r="A15" s="1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</row>
    <row r="16">
      <c r="A16" s="1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</row>
    <row r="17">
      <c r="A17" s="1" t="n"/>
      <c r="B17" s="48" t="n"/>
      <c r="C17" s="48" t="n"/>
      <c r="D17" s="48" t="n"/>
      <c r="E17" s="48" t="n"/>
      <c r="F17" s="48" t="n"/>
      <c r="G17" s="48" t="n"/>
      <c r="H17" s="48" t="inlineStr">
        <is>
          <t>_</t>
        </is>
      </c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</row>
  </sheetData>
  <mergeCells count="6">
    <mergeCell ref="B1:E1"/>
    <mergeCell ref="F1:I1"/>
    <mergeCell ref="N1:Q1"/>
    <mergeCell ref="A1:A2"/>
    <mergeCell ref="J1:M1"/>
    <mergeCell ref="R1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D4" sqref="D4"/>
    </sheetView>
  </sheetViews>
  <sheetFormatPr baseColWidth="8" defaultRowHeight="14.4"/>
  <cols>
    <col width="35.88671875" bestFit="1" customWidth="1" min="1" max="1"/>
    <col width="15" bestFit="1" customWidth="1" style="21" min="2" max="2"/>
    <col width="10.21875" bestFit="1" customWidth="1" style="21" min="3" max="3"/>
    <col width="10" bestFit="1" customWidth="1" style="21" min="4" max="4"/>
    <col width="10" customWidth="1" style="21" min="5" max="5"/>
    <col width="15" bestFit="1" customWidth="1" style="21" min="6" max="6"/>
    <col width="10.21875" bestFit="1" customWidth="1" style="21" min="7" max="7"/>
    <col width="10" bestFit="1" customWidth="1" style="21" min="8" max="8"/>
    <col width="10" customWidth="1" style="21" min="9" max="9"/>
    <col width="15" bestFit="1" customWidth="1" style="21" min="10" max="10"/>
    <col width="10.21875" bestFit="1" customWidth="1" style="21" min="11" max="11"/>
    <col width="10" bestFit="1" customWidth="1" style="21" min="12" max="12"/>
    <col width="10" customWidth="1" style="21" min="13" max="13"/>
    <col width="15" bestFit="1" customWidth="1" style="21" min="14" max="14"/>
    <col width="10.21875" bestFit="1" customWidth="1" style="21" min="15" max="15"/>
    <col width="10" bestFit="1" customWidth="1" style="21" min="16" max="16"/>
    <col width="10" customWidth="1" style="21" min="17" max="17"/>
    <col width="59.88671875" bestFit="1" customWidth="1" style="21" min="18" max="18"/>
  </cols>
  <sheetData>
    <row r="1" ht="16.05" customHeight="1">
      <c r="A1" s="60" t="inlineStr">
        <is>
          <t>Material</t>
        </is>
      </c>
      <c r="B1" s="62" t="inlineStr">
        <is>
          <t>April'26</t>
        </is>
      </c>
      <c r="C1" s="63" t="n"/>
      <c r="D1" s="63" t="n"/>
      <c r="E1" s="64" t="n"/>
      <c r="F1" s="62" t="inlineStr">
        <is>
          <t>May'26</t>
        </is>
      </c>
      <c r="G1" s="63" t="n"/>
      <c r="H1" s="63" t="n"/>
      <c r="I1" s="64" t="n"/>
      <c r="J1" s="62" t="inlineStr">
        <is>
          <t>June'26</t>
        </is>
      </c>
      <c r="K1" s="63" t="n"/>
      <c r="L1" s="63" t="n"/>
      <c r="M1" s="64" t="n"/>
      <c r="N1" s="62" t="inlineStr">
        <is>
          <t>July'26</t>
        </is>
      </c>
      <c r="O1" s="63" t="n"/>
      <c r="P1" s="63" t="n"/>
      <c r="Q1" s="64" t="n"/>
      <c r="R1" s="57" t="inlineStr">
        <is>
          <t>URL</t>
        </is>
      </c>
      <c r="S1" s="46" t="n"/>
      <c r="T1" s="34" t="n"/>
      <c r="U1" s="34" t="n"/>
      <c r="V1" s="34" t="n"/>
    </row>
    <row r="2">
      <c r="A2" s="61" t="n"/>
      <c r="B2" s="53" t="inlineStr">
        <is>
          <t>Country Currency</t>
        </is>
      </c>
      <c r="C2" s="53" t="inlineStr">
        <is>
          <t>In INR</t>
        </is>
      </c>
      <c r="D2" s="53" t="inlineStr">
        <is>
          <t>Duty Added</t>
        </is>
      </c>
      <c r="E2" s="53" t="inlineStr">
        <is>
          <t>Total</t>
        </is>
      </c>
      <c r="F2" s="53" t="inlineStr">
        <is>
          <t>Country Currency</t>
        </is>
      </c>
      <c r="G2" s="53" t="inlineStr">
        <is>
          <t>In INR</t>
        </is>
      </c>
      <c r="H2" s="53" t="inlineStr">
        <is>
          <t>Duty Added</t>
        </is>
      </c>
      <c r="I2" s="53" t="inlineStr">
        <is>
          <t>Total</t>
        </is>
      </c>
      <c r="J2" s="53" t="inlineStr">
        <is>
          <t>Country Currency</t>
        </is>
      </c>
      <c r="K2" s="53" t="inlineStr">
        <is>
          <t>In INR</t>
        </is>
      </c>
      <c r="L2" s="53" t="inlineStr">
        <is>
          <t>Duty Added</t>
        </is>
      </c>
      <c r="M2" s="53" t="inlineStr">
        <is>
          <t>Total</t>
        </is>
      </c>
      <c r="N2" s="53" t="inlineStr">
        <is>
          <t>Country Currency</t>
        </is>
      </c>
      <c r="O2" s="53" t="inlineStr">
        <is>
          <t>In INR</t>
        </is>
      </c>
      <c r="P2" s="53" t="inlineStr">
        <is>
          <t>Duty Added</t>
        </is>
      </c>
      <c r="Q2" s="53" t="inlineStr">
        <is>
          <t>Total</t>
        </is>
      </c>
      <c r="R2" s="61" t="n"/>
    </row>
    <row r="3">
      <c r="A3" s="1" t="n"/>
      <c r="B3" s="74" t="n"/>
      <c r="C3" s="74" t="n"/>
      <c r="D3" s="74" t="n"/>
      <c r="E3" s="75" t="n"/>
      <c r="F3" s="74" t="n"/>
      <c r="G3" s="74" t="n"/>
      <c r="H3" s="74" t="n"/>
      <c r="I3" s="75" t="n"/>
      <c r="J3" s="74" t="n"/>
      <c r="K3" s="74" t="n"/>
      <c r="L3" s="74" t="n"/>
      <c r="M3" s="75" t="n"/>
      <c r="N3" s="74" t="n"/>
      <c r="O3" s="74" t="n"/>
      <c r="P3" s="74" t="n"/>
      <c r="Q3" s="75" t="n"/>
      <c r="R3" s="50" t="n"/>
    </row>
    <row r="4">
      <c r="A4" s="1" t="n"/>
      <c r="B4" s="74" t="n"/>
      <c r="C4" s="74" t="n"/>
      <c r="D4" s="74" t="n"/>
      <c r="E4" s="75" t="n"/>
      <c r="F4" s="74" t="n"/>
      <c r="G4" s="74" t="n"/>
      <c r="H4" s="74" t="n"/>
      <c r="I4" s="75" t="n"/>
      <c r="J4" s="74" t="n"/>
      <c r="K4" s="74" t="n"/>
      <c r="L4" s="74" t="n"/>
      <c r="M4" s="75" t="n"/>
      <c r="N4" s="74" t="n"/>
      <c r="O4" s="74" t="n"/>
      <c r="P4" s="74" t="n"/>
      <c r="Q4" s="75" t="n"/>
      <c r="R4" s="50" t="n"/>
    </row>
    <row r="5">
      <c r="A5" s="1" t="n"/>
      <c r="B5" s="74" t="n"/>
      <c r="C5" s="74" t="n"/>
      <c r="D5" s="74" t="n"/>
      <c r="E5" s="75" t="n"/>
      <c r="F5" s="74" t="n"/>
      <c r="G5" s="74" t="n"/>
      <c r="H5" s="74" t="n"/>
      <c r="I5" s="75" t="n"/>
      <c r="J5" s="74" t="n"/>
      <c r="K5" s="74" t="n"/>
      <c r="L5" s="74" t="n"/>
      <c r="M5" s="75" t="n"/>
      <c r="N5" s="74" t="n"/>
      <c r="O5" s="74" t="n"/>
      <c r="P5" s="74" t="n"/>
      <c r="Q5" s="75" t="n"/>
      <c r="R5" s="50" t="n"/>
    </row>
    <row r="6">
      <c r="A6" s="1" t="n"/>
      <c r="B6" s="74" t="n"/>
      <c r="C6" s="74" t="n"/>
      <c r="D6" s="74" t="n"/>
      <c r="E6" s="75" t="n"/>
      <c r="F6" s="74" t="n"/>
      <c r="G6" s="74" t="n"/>
      <c r="H6" s="74" t="n"/>
      <c r="I6" s="75" t="n"/>
      <c r="J6" s="74" t="n"/>
      <c r="K6" s="74" t="n"/>
      <c r="L6" s="74" t="n"/>
      <c r="M6" s="75" t="n"/>
      <c r="N6" s="74" t="n"/>
      <c r="O6" s="74" t="n"/>
      <c r="P6" s="74" t="n"/>
      <c r="Q6" s="75" t="n"/>
      <c r="R6" s="50" t="n"/>
    </row>
    <row r="7">
      <c r="A7" s="1" t="n"/>
      <c r="B7" s="74" t="n"/>
      <c r="C7" s="74" t="n"/>
      <c r="D7" s="74" t="n"/>
      <c r="E7" s="75" t="n"/>
      <c r="F7" s="74" t="n"/>
      <c r="G7" s="74" t="n"/>
      <c r="H7" s="74" t="n"/>
      <c r="I7" s="75" t="n"/>
      <c r="J7" s="74" t="n"/>
      <c r="K7" s="74" t="n"/>
      <c r="L7" s="74" t="n"/>
      <c r="M7" s="75" t="n"/>
      <c r="N7" s="74" t="n"/>
      <c r="O7" s="74" t="n"/>
      <c r="P7" s="74" t="n"/>
      <c r="Q7" s="75" t="n"/>
      <c r="R7" s="50" t="n"/>
    </row>
    <row r="8">
      <c r="B8" s="74" t="n"/>
      <c r="C8" s="74" t="n"/>
      <c r="D8" s="74" t="n"/>
      <c r="E8" s="75" t="n"/>
      <c r="F8" s="74" t="n"/>
      <c r="G8" s="74" t="n"/>
      <c r="H8" s="74" t="n"/>
      <c r="I8" s="75" t="n"/>
      <c r="J8" s="74" t="n"/>
      <c r="K8" s="74" t="n"/>
      <c r="L8" s="74" t="n"/>
      <c r="M8" s="75" t="n"/>
      <c r="N8" s="74" t="n"/>
      <c r="O8" s="74" t="n"/>
      <c r="P8" s="74" t="n"/>
      <c r="Q8" s="75" t="n"/>
      <c r="R8" s="50" t="n"/>
    </row>
    <row r="9">
      <c r="B9" s="74" t="n"/>
      <c r="C9" s="74" t="n"/>
      <c r="D9" s="74" t="n"/>
      <c r="E9" s="75" t="n"/>
      <c r="F9" s="74" t="n"/>
      <c r="G9" s="74" t="n"/>
      <c r="H9" s="74" t="n"/>
      <c r="I9" s="75" t="n"/>
      <c r="J9" s="74" t="n"/>
      <c r="K9" s="74" t="n"/>
      <c r="L9" s="74" t="n"/>
      <c r="M9" s="75" t="n"/>
      <c r="N9" s="74" t="n"/>
      <c r="O9" s="74" t="n"/>
      <c r="P9" s="74" t="n"/>
      <c r="Q9" s="75" t="n"/>
      <c r="R9" s="50" t="n"/>
    </row>
    <row r="10">
      <c r="A10" s="1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</row>
    <row r="11">
      <c r="A11" s="1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</row>
    <row r="12">
      <c r="A12" s="1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</row>
    <row r="13">
      <c r="A13" s="1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</row>
    <row r="14">
      <c r="A14" s="1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78" t="n"/>
      <c r="Q14" s="48" t="n"/>
      <c r="R14" s="48" t="n"/>
    </row>
    <row r="15">
      <c r="A15" s="1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</row>
    <row r="16">
      <c r="A16" s="1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</row>
    <row r="17">
      <c r="A17" s="1" t="n"/>
      <c r="B17" s="48" t="n"/>
      <c r="C17" s="48" t="n"/>
      <c r="D17" s="48" t="n"/>
      <c r="E17" s="48" t="n"/>
      <c r="F17" s="48" t="n"/>
      <c r="G17" s="48" t="n"/>
      <c r="H17" s="48" t="inlineStr">
        <is>
          <t>_</t>
        </is>
      </c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</row>
  </sheetData>
  <mergeCells count="6">
    <mergeCell ref="B1:E1"/>
    <mergeCell ref="F1:I1"/>
    <mergeCell ref="N1:Q1"/>
    <mergeCell ref="A1:A2"/>
    <mergeCell ref="J1:M1"/>
    <mergeCell ref="R1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78" workbookViewId="0">
      <selection activeCell="O19" sqref="O19"/>
    </sheetView>
  </sheetViews>
  <sheetFormatPr baseColWidth="8" defaultRowHeight="14.4"/>
  <cols>
    <col width="39.109375" customWidth="1" style="21" min="1" max="1"/>
  </cols>
  <sheetData>
    <row r="1" ht="15" customHeight="1" thickBot="1">
      <c r="A1" s="68" t="inlineStr">
        <is>
          <t>Material</t>
        </is>
      </c>
      <c r="B1" s="65" t="inlineStr">
        <is>
          <t>2024-2025</t>
        </is>
      </c>
      <c r="C1" s="66" t="n"/>
      <c r="D1" s="66" t="n"/>
      <c r="E1" s="67" t="n"/>
      <c r="F1" s="65" t="inlineStr">
        <is>
          <t>2025-2026</t>
        </is>
      </c>
      <c r="G1" s="66" t="n"/>
      <c r="H1" s="66" t="n"/>
      <c r="I1" s="67" t="n"/>
      <c r="J1" s="65" t="inlineStr">
        <is>
          <t>2026-27</t>
        </is>
      </c>
      <c r="K1" s="66" t="n"/>
      <c r="L1" s="66" t="n"/>
      <c r="M1" s="67" t="n"/>
    </row>
    <row r="2" ht="25.5" customHeight="1" thickBot="1">
      <c r="A2" s="69" t="n"/>
      <c r="B2" s="26" t="inlineStr">
        <is>
          <t>Quarter 1</t>
        </is>
      </c>
      <c r="C2" s="27" t="inlineStr">
        <is>
          <t>Quarter 2</t>
        </is>
      </c>
      <c r="D2" s="27" t="inlineStr">
        <is>
          <t>Quarter 3</t>
        </is>
      </c>
      <c r="E2" s="28" t="inlineStr">
        <is>
          <t>Quarter 4</t>
        </is>
      </c>
      <c r="F2" s="26" t="inlineStr">
        <is>
          <t>Quarter 1</t>
        </is>
      </c>
      <c r="G2" s="27" t="inlineStr">
        <is>
          <t>Quarter 2</t>
        </is>
      </c>
      <c r="H2" s="27" t="inlineStr">
        <is>
          <t>Quarter 3</t>
        </is>
      </c>
      <c r="I2" s="28" t="inlineStr">
        <is>
          <t>Quarter 4</t>
        </is>
      </c>
      <c r="J2" s="26" t="inlineStr">
        <is>
          <t>Quarter 1</t>
        </is>
      </c>
      <c r="K2" s="27" t="inlineStr">
        <is>
          <t>Quarter 2</t>
        </is>
      </c>
      <c r="L2" s="27" t="inlineStr">
        <is>
          <t>Quarter 3</t>
        </is>
      </c>
      <c r="M2" s="28" t="inlineStr">
        <is>
          <t>Quarter 4</t>
        </is>
      </c>
    </row>
    <row r="3">
      <c r="A3" s="54" t="inlineStr">
        <is>
          <t>Pig Iron(Raipur)(SG)</t>
        </is>
      </c>
      <c r="B3" s="25">
        <f>AVERAGE(Monthly!E2:G2)</f>
        <v/>
      </c>
      <c r="C3" s="25">
        <f>AVERAGE(Monthly!H2:J2)</f>
        <v/>
      </c>
      <c r="D3" s="25">
        <f>AVERAGE(Monthly!K2:M2)</f>
        <v/>
      </c>
      <c r="E3" s="25">
        <f>AVERAGE(Monthly!N2:P2)</f>
        <v/>
      </c>
      <c r="F3" s="25">
        <f>AVERAGE(Monthly!Q2:S2)</f>
        <v/>
      </c>
      <c r="G3" s="25">
        <f>AVERAGE(Monthly!T2:V2)</f>
        <v/>
      </c>
      <c r="H3" s="25">
        <f>AVERAGE(Monthly!W2:Y2)</f>
        <v/>
      </c>
      <c r="I3" s="25">
        <f>AVERAGE(Monthly!Z2:AB2)</f>
        <v/>
      </c>
      <c r="J3" s="25">
        <f>AVERAGE(Monthly!AC2:AE2)</f>
        <v/>
      </c>
      <c r="K3" s="25" t="n"/>
      <c r="L3" s="25" t="n"/>
      <c r="M3" s="25" t="n"/>
    </row>
    <row r="4">
      <c r="A4" s="22" t="inlineStr">
        <is>
          <t>Pig Iron(ludhiana-SG)</t>
        </is>
      </c>
      <c r="B4" s="25">
        <f>AVERAGE(Monthly!E3:G3)</f>
        <v/>
      </c>
      <c r="C4" s="25">
        <f>AVERAGE(Monthly!H3:J3)</f>
        <v/>
      </c>
      <c r="D4" s="25">
        <f>AVERAGE(Monthly!K3:M3)</f>
        <v/>
      </c>
      <c r="E4" s="25">
        <f>AVERAGE(Monthly!N3:P3)</f>
        <v/>
      </c>
      <c r="F4" s="25">
        <f>AVERAGE(Monthly!Q3:S3)</f>
        <v/>
      </c>
      <c r="G4" s="25">
        <f>AVERAGE(Monthly!T3:V3)</f>
        <v/>
      </c>
      <c r="H4" s="25">
        <f>AVERAGE(Monthly!W3:Y3)</f>
        <v/>
      </c>
      <c r="I4" s="25">
        <f>AVERAGE(Monthly!Z3:AB3)</f>
        <v/>
      </c>
      <c r="J4" s="25">
        <f>AVERAGE(Monthly!AC3:AE3)</f>
        <v/>
      </c>
      <c r="K4" s="25" t="n"/>
      <c r="L4" s="25" t="n"/>
      <c r="M4" s="25" t="n"/>
    </row>
    <row r="5">
      <c r="A5" s="22" t="inlineStr">
        <is>
          <t>Pig Iron(Durgapur SG)</t>
        </is>
      </c>
      <c r="B5" s="25">
        <f>AVERAGE(Monthly!E4:G4)</f>
        <v/>
      </c>
      <c r="C5" s="25">
        <f>AVERAGE(Monthly!H4:J4)</f>
        <v/>
      </c>
      <c r="D5" s="25">
        <f>AVERAGE(Monthly!K4:M4)</f>
        <v/>
      </c>
      <c r="E5" s="25">
        <f>AVERAGE(Monthly!N4:P4)</f>
        <v/>
      </c>
      <c r="F5" s="25">
        <f>AVERAGE(Monthly!Q4:S4)</f>
        <v/>
      </c>
      <c r="G5" s="25">
        <f>AVERAGE(Monthly!T4:V4)</f>
        <v/>
      </c>
      <c r="H5" s="25">
        <f>AVERAGE(Monthly!W4:Y4)</f>
        <v/>
      </c>
      <c r="I5" s="25">
        <f>AVERAGE(Monthly!Z4:AB4)</f>
        <v/>
      </c>
      <c r="J5" s="25">
        <f>AVERAGE(Monthly!AC4:AE4)</f>
        <v/>
      </c>
      <c r="K5" s="25" t="n"/>
      <c r="L5" s="25" t="n"/>
      <c r="M5" s="25" t="n"/>
    </row>
    <row r="6">
      <c r="A6" s="22" t="inlineStr">
        <is>
          <t>Pig Iron(Hyderabad SG)</t>
        </is>
      </c>
      <c r="B6" s="25">
        <f>AVERAGE(Monthly!E5:G5)</f>
        <v/>
      </c>
      <c r="C6" s="25">
        <f>AVERAGE(Monthly!H5:J5)</f>
        <v/>
      </c>
      <c r="D6" s="25">
        <f>AVERAGE(Monthly!K5:M5)</f>
        <v/>
      </c>
      <c r="E6" s="25">
        <f>AVERAGE(Monthly!N5:P5)</f>
        <v/>
      </c>
      <c r="F6" s="25">
        <f>AVERAGE(Monthly!Q5:S5)</f>
        <v/>
      </c>
      <c r="G6" s="25">
        <f>AVERAGE(Monthly!T5:V5)</f>
        <v/>
      </c>
      <c r="H6" s="25">
        <f>AVERAGE(Monthly!W5:Y5)</f>
        <v/>
      </c>
      <c r="I6" s="25">
        <f>AVERAGE(Monthly!Z5:AB5)</f>
        <v/>
      </c>
      <c r="J6" s="25">
        <f>AVERAGE(Monthly!AC5:AE5)</f>
        <v/>
      </c>
      <c r="K6" s="25" t="n"/>
      <c r="L6" s="25" t="n"/>
      <c r="M6" s="25" t="n"/>
    </row>
    <row r="7">
      <c r="A7" s="22" t="inlineStr">
        <is>
          <t>Pig Iron(ludhiana-FG)</t>
        </is>
      </c>
      <c r="B7" s="25">
        <f>AVERAGE(Monthly!E6:G6)</f>
        <v/>
      </c>
      <c r="C7" s="25">
        <f>AVERAGE(Monthly!H6:J6)</f>
        <v/>
      </c>
      <c r="D7" s="25">
        <f>AVERAGE(Monthly!K6:M6)</f>
        <v/>
      </c>
      <c r="E7" s="25">
        <f>AVERAGE(Monthly!N6:P6)</f>
        <v/>
      </c>
      <c r="F7" s="25">
        <f>AVERAGE(Monthly!Q6:S6)</f>
        <v/>
      </c>
      <c r="G7" s="25">
        <f>AVERAGE(Monthly!T6:V6)</f>
        <v/>
      </c>
      <c r="H7" s="25">
        <f>AVERAGE(Monthly!W6:Y6)</f>
        <v/>
      </c>
      <c r="I7" s="25">
        <f>AVERAGE(Monthly!Z6:AB6)</f>
        <v/>
      </c>
      <c r="J7" s="25">
        <f>AVERAGE(Monthly!AC6:AE6)</f>
        <v/>
      </c>
      <c r="K7" s="25" t="n"/>
      <c r="L7" s="25" t="n"/>
      <c r="M7" s="25" t="n"/>
    </row>
    <row r="8">
      <c r="A8" s="22" t="inlineStr">
        <is>
          <t>Pig Iron(Durgapur FG)</t>
        </is>
      </c>
      <c r="B8" s="25">
        <f>AVERAGE(Monthly!E7:G7)</f>
        <v/>
      </c>
      <c r="C8" s="25">
        <f>AVERAGE(Monthly!H7:I7)</f>
        <v/>
      </c>
      <c r="D8" s="25">
        <f>AVERAGE(Monthly!J7:M7)</f>
        <v/>
      </c>
      <c r="E8" s="25">
        <f>AVERAGE(Monthly!N7:P7)</f>
        <v/>
      </c>
      <c r="F8" s="25">
        <f>AVERAGE(Monthly!Q7:S7)</f>
        <v/>
      </c>
      <c r="G8" s="25">
        <f>AVERAGE(Monthly!T7:V7)</f>
        <v/>
      </c>
      <c r="H8" s="25">
        <f>AVERAGE(Monthly!W7:Y7)</f>
        <v/>
      </c>
      <c r="I8" s="25">
        <f>AVERAGE(Monthly!Z7:AB7)</f>
        <v/>
      </c>
      <c r="J8" s="25">
        <f>AVERAGE(Monthly!AC7:AE7)</f>
        <v/>
      </c>
      <c r="K8" s="25" t="n"/>
      <c r="L8" s="25" t="n"/>
      <c r="M8" s="25" t="n"/>
    </row>
    <row r="9">
      <c r="A9" s="22" t="inlineStr">
        <is>
          <t>End Cutting(Raipur)</t>
        </is>
      </c>
      <c r="B9" s="25">
        <f>AVERAGE(Monthly!E8:G8)</f>
        <v/>
      </c>
      <c r="C9" s="25">
        <f>AVERAGE(Monthly!H8:J8)</f>
        <v/>
      </c>
      <c r="D9" s="25">
        <f>AVERAGE(Monthly!K8:M8)</f>
        <v/>
      </c>
      <c r="E9" s="25">
        <f>AVERAGE(Monthly!N8:P8)</f>
        <v/>
      </c>
      <c r="F9" s="25">
        <f>AVERAGE(Monthly!Q8:S8)</f>
        <v/>
      </c>
      <c r="G9" s="25">
        <f>AVERAGE(Monthly!T8:V8)</f>
        <v/>
      </c>
      <c r="H9" s="25">
        <f>AVERAGE(Monthly!W8:Y8)</f>
        <v/>
      </c>
      <c r="I9" s="25">
        <f>AVERAGE(Monthly!Z8:AB8)</f>
        <v/>
      </c>
      <c r="J9" s="25">
        <f>AVERAGE(Monthly!AC8:AE8)</f>
        <v/>
      </c>
      <c r="K9" s="25" t="n"/>
      <c r="L9" s="25" t="n"/>
      <c r="M9" s="25" t="n"/>
    </row>
    <row r="10">
      <c r="A10" s="22" t="inlineStr">
        <is>
          <t>HMS 80:20(Raipur)</t>
        </is>
      </c>
      <c r="B10" s="25">
        <f>AVERAGE(Monthly!E9:G9)</f>
        <v/>
      </c>
      <c r="C10" s="25">
        <f>AVERAGE(Monthly!H9:J9)</f>
        <v/>
      </c>
      <c r="D10" s="25">
        <f>AVERAGE(Monthly!K9:M9)</f>
        <v/>
      </c>
      <c r="E10" s="25">
        <f>AVERAGE(Monthly!N9:P9)</f>
        <v/>
      </c>
      <c r="F10" s="25">
        <f>AVERAGE(Monthly!Q9:S9)</f>
        <v/>
      </c>
      <c r="G10" s="25">
        <f>AVERAGE(Monthly!T9:V9)</f>
        <v/>
      </c>
      <c r="H10" s="25">
        <f>AVERAGE(Monthly!W9:Y9)</f>
        <v/>
      </c>
      <c r="I10" s="25">
        <f>AVERAGE(Monthly!Z9:AB9)</f>
        <v/>
      </c>
      <c r="J10" s="25">
        <f>AVERAGE(Monthly!AC9:AE9)</f>
        <v/>
      </c>
      <c r="K10" s="25" t="n"/>
      <c r="L10" s="25" t="n"/>
      <c r="M10" s="25" t="n"/>
    </row>
    <row r="11">
      <c r="A11" s="22" t="inlineStr">
        <is>
          <t>P-DRI (RAIPUR)</t>
        </is>
      </c>
      <c r="B11" s="25">
        <f>AVERAGE(Monthly!E10:G10)</f>
        <v/>
      </c>
      <c r="C11" s="25">
        <f>AVERAGE(Monthly!H10:J10)</f>
        <v/>
      </c>
      <c r="D11" s="25">
        <f>AVERAGE(Monthly!K10:M10)</f>
        <v/>
      </c>
      <c r="E11" s="25">
        <f>AVERAGE(Monthly!N10:P10)</f>
        <v/>
      </c>
      <c r="F11" s="25">
        <f>AVERAGE(Monthly!Q10:S10)</f>
        <v/>
      </c>
      <c r="G11" s="25">
        <f>AVERAGE(Monthly!T10:V10)</f>
        <v/>
      </c>
      <c r="H11" s="25">
        <f>AVERAGE(Monthly!W10:Y10)</f>
        <v/>
      </c>
      <c r="I11" s="25">
        <f>AVERAGE(Monthly!Z10:AB10)</f>
        <v/>
      </c>
      <c r="J11" s="25">
        <f>AVERAGE(Monthly!AC10:AE10)</f>
        <v/>
      </c>
      <c r="K11" s="25" t="n"/>
      <c r="L11" s="25" t="n"/>
      <c r="M11" s="25" t="n"/>
    </row>
    <row r="12">
      <c r="A12" s="22" t="inlineStr">
        <is>
          <t>TMT(Mumbai) IF FE500</t>
        </is>
      </c>
      <c r="B12" s="25">
        <f>AVERAGE(Monthly!E11:G11)</f>
        <v/>
      </c>
      <c r="C12" s="25">
        <f>AVERAGE(Monthly!H11:J11)</f>
        <v/>
      </c>
      <c r="D12" s="25">
        <f>AVERAGE(Monthly!K11:M11)</f>
        <v/>
      </c>
      <c r="E12" s="25">
        <f>AVERAGE(Monthly!N11:P11)</f>
        <v/>
      </c>
      <c r="F12" s="25">
        <f>AVERAGE(Monthly!Q11:S11)</f>
        <v/>
      </c>
      <c r="G12" s="25">
        <f>AVERAGE(Monthly!T11:V11)</f>
        <v/>
      </c>
      <c r="H12" s="25">
        <f>AVERAGE(Monthly!W11:Y11)</f>
        <v/>
      </c>
      <c r="I12" s="25">
        <f>AVERAGE(Monthly!Z11:AB11)</f>
        <v/>
      </c>
      <c r="J12" s="25">
        <f>AVERAGE(Monthly!AC11:AE11)</f>
        <v/>
      </c>
      <c r="K12" s="25" t="n"/>
      <c r="L12" s="25" t="n"/>
      <c r="M12" s="25" t="n"/>
    </row>
    <row r="13">
      <c r="A13" s="22" t="inlineStr">
        <is>
          <t>TMT(Raipur) IF FE500</t>
        </is>
      </c>
      <c r="B13" s="25">
        <f>AVERAGE(Monthly!E12:G12)</f>
        <v/>
      </c>
      <c r="C13" s="25">
        <f>AVERAGE(Monthly!H12:J12)</f>
        <v/>
      </c>
      <c r="D13" s="25">
        <f>AVERAGE(Monthly!L12:N12)</f>
        <v/>
      </c>
      <c r="E13" s="25">
        <f>AVERAGE(Monthly!O12:P12)</f>
        <v/>
      </c>
      <c r="F13" s="25">
        <f>AVERAGE(Monthly!Q12:S12)</f>
        <v/>
      </c>
      <c r="G13" s="25">
        <f>AVERAGE(Monthly!T12:V12)</f>
        <v/>
      </c>
      <c r="H13" s="25">
        <f>AVERAGE(Monthly!W12:Y12)</f>
        <v/>
      </c>
      <c r="I13" s="25">
        <f>AVERAGE(Monthly!Z12:AB12)</f>
        <v/>
      </c>
      <c r="J13" s="25">
        <f>AVERAGE(Monthly!AC12:AE12)</f>
        <v/>
      </c>
      <c r="K13" s="25" t="n"/>
      <c r="L13" s="25" t="n"/>
      <c r="M13" s="25" t="n"/>
    </row>
    <row r="14">
      <c r="A14" s="22" t="inlineStr">
        <is>
          <t>TMT (MUMBAI) BF FE500D</t>
        </is>
      </c>
      <c r="B14" s="25">
        <f>AVERAGE(Monthly!E13:G13)</f>
        <v/>
      </c>
      <c r="C14" s="25">
        <f>AVERAGE(Monthly!H13:J13)</f>
        <v/>
      </c>
      <c r="D14" s="25">
        <f>AVERAGE(Monthly!K13:M13)</f>
        <v/>
      </c>
      <c r="E14" s="25">
        <f>AVERAGE(Monthly!N13:P13)</f>
        <v/>
      </c>
      <c r="F14" s="25">
        <f>AVERAGE(Monthly!Q13:S13)</f>
        <v/>
      </c>
      <c r="G14" s="25">
        <f>AVERAGE(Monthly!T13:V13)</f>
        <v/>
      </c>
      <c r="H14" s="25">
        <f>AVERAGE(Monthly!W13:Y13)</f>
        <v/>
      </c>
      <c r="I14" s="25">
        <f>AVERAGE(Monthly!Z13:AB13)</f>
        <v/>
      </c>
      <c r="J14" s="25">
        <f>AVERAGE(Monthly!AC13:AE13)</f>
        <v/>
      </c>
      <c r="K14" s="25" t="n"/>
      <c r="L14" s="25" t="n"/>
      <c r="M14" s="25" t="n"/>
    </row>
    <row r="15">
      <c r="A15" s="22" t="inlineStr">
        <is>
          <t>M.S Billets</t>
        </is>
      </c>
      <c r="B15" s="25">
        <f>AVERAGE(Monthly!E14:G14)</f>
        <v/>
      </c>
      <c r="C15" s="25">
        <f>AVERAGE(Monthly!H14:J14)</f>
        <v/>
      </c>
      <c r="D15" s="25">
        <f>AVERAGE(Monthly!K14:M14)</f>
        <v/>
      </c>
      <c r="E15" s="25">
        <f>AVERAGE(Monthly!N14:P14)</f>
        <v/>
      </c>
      <c r="F15" s="25">
        <f>AVERAGE(Monthly!Q14:S14)</f>
        <v/>
      </c>
      <c r="G15" s="25">
        <f>AVERAGE(Monthly!T14:V14)</f>
        <v/>
      </c>
      <c r="H15" s="25">
        <f>AVERAGE(Monthly!W14:Y14)</f>
        <v/>
      </c>
      <c r="I15" s="25">
        <f>AVERAGE(Monthly!Z14:AB14)</f>
        <v/>
      </c>
      <c r="J15" s="25">
        <f>AVERAGE(Monthly!AC14:AE14)</f>
        <v/>
      </c>
      <c r="K15" s="25" t="n"/>
      <c r="L15" s="25" t="n"/>
      <c r="M15" s="25" t="n"/>
    </row>
    <row r="16">
      <c r="A16" s="22" t="inlineStr">
        <is>
          <t>M.S Ingots</t>
        </is>
      </c>
      <c r="B16" s="25">
        <f>AVERAGE(Monthly!E15:H15)</f>
        <v/>
      </c>
      <c r="C16" s="25">
        <f>AVERAGE(Monthly!I15:J15)</f>
        <v/>
      </c>
      <c r="D16" s="25">
        <f>AVERAGE(Monthly!K15:M15)</f>
        <v/>
      </c>
      <c r="E16" s="25">
        <f>AVERAGE(Monthly!N15:P15)</f>
        <v/>
      </c>
      <c r="F16" s="25">
        <f>AVERAGE(Monthly!Q15:S15)</f>
        <v/>
      </c>
      <c r="G16" s="25">
        <f>AVERAGE(Monthly!T15:V15)</f>
        <v/>
      </c>
      <c r="H16" s="25">
        <f>AVERAGE(Monthly!W15:Y15)</f>
        <v/>
      </c>
      <c r="I16" s="25">
        <f>AVERAGE(Monthly!Z15:AB15)</f>
        <v/>
      </c>
      <c r="J16" s="25">
        <f>AVERAGE(Monthly!AC15:AE15)</f>
        <v/>
      </c>
      <c r="K16" s="25" t="n"/>
      <c r="L16" s="25" t="n"/>
      <c r="M16" s="25" t="n"/>
    </row>
    <row r="17">
      <c r="A17" s="22" t="inlineStr">
        <is>
          <t>Pellet 6-20 mm FE 63% (Raipur)</t>
        </is>
      </c>
      <c r="B17" s="25">
        <f>AVERAGE(Monthly!E16:G16)</f>
        <v/>
      </c>
      <c r="C17" s="25">
        <f>AVERAGE(Monthly!H16:I16)</f>
        <v/>
      </c>
      <c r="D17" s="25">
        <f>AVERAGE(Monthly!J16:L16)</f>
        <v/>
      </c>
      <c r="E17" s="25">
        <f>AVERAGE(Monthly!M16:P16)</f>
        <v/>
      </c>
      <c r="F17" s="25">
        <f>AVERAGE(Monthly!Q16:S16)</f>
        <v/>
      </c>
      <c r="G17" s="25">
        <f>AVERAGE(Monthly!T16:V16)</f>
        <v/>
      </c>
      <c r="H17" s="25">
        <f>AVERAGE(Monthly!W16:Y16)</f>
        <v/>
      </c>
      <c r="I17" s="25">
        <f>AVERAGE(Monthly!Z16:AB16)</f>
        <v/>
      </c>
      <c r="J17" s="25">
        <f>AVERAGE(Monthly!AC16:AE16)</f>
        <v/>
      </c>
      <c r="K17" s="25" t="n"/>
      <c r="L17" s="25" t="n"/>
      <c r="M17" s="25" t="n"/>
    </row>
    <row r="18">
      <c r="A18" s="22" t="inlineStr">
        <is>
          <t>HRC ( 2.5-8mm,IS2062)Gr-E-250 (Mumbai)</t>
        </is>
      </c>
      <c r="B18" s="25">
        <f>AVERAGE(Monthly!E17:G17)</f>
        <v/>
      </c>
      <c r="C18" s="25">
        <f>AVERAGE(Monthly!H17:J17)</f>
        <v/>
      </c>
      <c r="D18" s="25">
        <f>AVERAGE(Monthly!K17:M17)</f>
        <v/>
      </c>
      <c r="E18" s="25">
        <f>AVERAGE(Monthly!N17:P17)</f>
        <v/>
      </c>
      <c r="F18" s="25">
        <f>AVERAGE(Monthly!Q17:S17)</f>
        <v/>
      </c>
      <c r="G18" s="25">
        <f>AVERAGE(Monthly!T17:V17)</f>
        <v/>
      </c>
      <c r="H18" s="25">
        <f>AVERAGE(Monthly!W17:Y17)</f>
        <v/>
      </c>
      <c r="I18" s="25">
        <f>AVERAGE(Monthly!Z17:AB17)</f>
        <v/>
      </c>
      <c r="J18" s="25">
        <f>AVERAGE(Monthly!AC17:AE17)</f>
        <v/>
      </c>
      <c r="K18" s="25" t="n"/>
      <c r="L18" s="25" t="n"/>
      <c r="M18" s="25" t="n"/>
    </row>
    <row r="19">
      <c r="A19" s="22" t="inlineStr">
        <is>
          <t>CRC ( 0.90,IS513) CR1(Mumbai)</t>
        </is>
      </c>
      <c r="B19" s="25">
        <f>AVERAGE(Monthly!E18:G18)</f>
        <v/>
      </c>
      <c r="C19" s="25">
        <f>AVERAGE(Monthly!H18:J18)</f>
        <v/>
      </c>
      <c r="D19" s="25">
        <f>AVERAGE(Monthly!K18:M18)</f>
        <v/>
      </c>
      <c r="E19" s="25">
        <f>AVERAGE(Monthly!N18:P18)</f>
        <v/>
      </c>
      <c r="F19" s="25">
        <f>AVERAGE(Monthly!Q18:S18)</f>
        <v/>
      </c>
      <c r="G19" s="25">
        <f>AVERAGE(Monthly!T18:V18)</f>
        <v/>
      </c>
      <c r="H19" s="25">
        <f>AVERAGE(Monthly!W18:Y18)</f>
        <v/>
      </c>
      <c r="I19" s="25">
        <f>AVERAGE(Monthly!Z18:AB18)</f>
        <v/>
      </c>
      <c r="J19" s="25">
        <f>AVERAGE(Monthly!AC18:AE18)</f>
        <v/>
      </c>
      <c r="K19" s="25" t="n"/>
      <c r="L19" s="25" t="n"/>
      <c r="M19" s="25" t="n"/>
    </row>
    <row r="20">
      <c r="A20" s="22" t="inlineStr">
        <is>
          <t>HR PLATE (20-40mm, Gr E-250</t>
        </is>
      </c>
      <c r="B20" s="25">
        <f>AVERAGE(Monthly!E19:G19)</f>
        <v/>
      </c>
      <c r="C20" s="25">
        <f>AVERAGE(Monthly!H19:J19)</f>
        <v/>
      </c>
      <c r="D20" s="25">
        <f>AVERAGE(Monthly!K19:M19)</f>
        <v/>
      </c>
      <c r="E20" s="25">
        <f>AVERAGE(Monthly!N19:P19)</f>
        <v/>
      </c>
      <c r="F20" s="25">
        <f>AVERAGE(Monthly!Q19:S19)</f>
        <v/>
      </c>
      <c r="G20" s="25">
        <f>AVERAGE(Monthly!T19:V19)</f>
        <v/>
      </c>
      <c r="H20" s="25">
        <f>AVERAGE(Monthly!W19:Y19)</f>
        <v/>
      </c>
      <c r="I20" s="25">
        <f>AVERAGE(Monthly!Z19:AB19)</f>
        <v/>
      </c>
      <c r="J20" s="25">
        <f>AVERAGE(Monthly!AC19:AE19)</f>
        <v/>
      </c>
      <c r="K20" s="25" t="n"/>
      <c r="L20" s="25" t="n"/>
      <c r="M20" s="25" t="n"/>
    </row>
    <row r="21">
      <c r="A21" s="22" t="inlineStr">
        <is>
          <t>GP (0.8mm,80 GSM) (Mumbai)</t>
        </is>
      </c>
      <c r="B21" s="25">
        <f>AVERAGE(Monthly!E20:G20)</f>
        <v/>
      </c>
      <c r="C21" s="25">
        <f>AVERAGE(Monthly!H20:J20)</f>
        <v/>
      </c>
      <c r="D21" s="25">
        <f>AVERAGE(Monthly!K20:M20)</f>
        <v/>
      </c>
      <c r="E21" s="25">
        <f>AVERAGE(Monthly!N20:P20)</f>
        <v/>
      </c>
      <c r="F21" s="25">
        <f>AVERAGE(Monthly!Q20:S20)</f>
        <v/>
      </c>
      <c r="G21" s="25">
        <f>AVERAGE(Monthly!T20:V20)</f>
        <v/>
      </c>
      <c r="H21" s="25">
        <f>AVERAGE(Monthly!W20:Y20)</f>
        <v/>
      </c>
      <c r="I21" s="25">
        <f>AVERAGE(Monthly!Z20:AB20)</f>
        <v/>
      </c>
      <c r="J21" s="25">
        <f>AVERAGE(Monthly!AC20:AE20)</f>
        <v/>
      </c>
      <c r="K21" s="25" t="n"/>
      <c r="L21" s="25" t="n"/>
      <c r="M21" s="25" t="n"/>
    </row>
    <row r="22">
      <c r="A22" s="23" t="inlineStr">
        <is>
          <t>ERW PIPE HR COIL ( MUMBAI) IS1239 IS1161</t>
        </is>
      </c>
      <c r="B22" s="25">
        <f>AVERAGE(Monthly!E21:G21)</f>
        <v/>
      </c>
      <c r="C22" s="25">
        <f>AVERAGE(Monthly!H21:J21)</f>
        <v/>
      </c>
      <c r="D22" s="25">
        <f>AVERAGE(Monthly!K21:M21)</f>
        <v/>
      </c>
      <c r="E22" s="25">
        <f>AVERAGE(Monthly!N21:P21)</f>
        <v/>
      </c>
      <c r="F22" s="25">
        <f>AVERAGE(Monthly!Q21:S21)</f>
        <v/>
      </c>
      <c r="G22" s="25">
        <f>AVERAGE(Monthly!T21:V21)</f>
        <v/>
      </c>
      <c r="H22" s="25">
        <f>AVERAGE(Monthly!W21:Y21)</f>
        <v/>
      </c>
      <c r="I22" s="25">
        <f>AVERAGE(Monthly!Z21:AB21)</f>
        <v/>
      </c>
      <c r="J22" s="25">
        <f>AVERAGE(Monthly!AC21:AE21)</f>
        <v/>
      </c>
      <c r="K22" s="25" t="n"/>
      <c r="L22" s="25" t="n"/>
      <c r="M22" s="25" t="n"/>
    </row>
    <row r="23">
      <c r="A23" s="23" t="inlineStr">
        <is>
          <t>ERW PIPE HR COIL ( DELHI)</t>
        </is>
      </c>
      <c r="B23" s="25">
        <f>AVERAGE(Monthly!E22:G22)</f>
        <v/>
      </c>
      <c r="C23" s="25">
        <f>AVERAGE(Monthly!H22:J22)</f>
        <v/>
      </c>
      <c r="D23" s="25">
        <f>AVERAGE(Monthly!K22:M22)</f>
        <v/>
      </c>
      <c r="E23" s="25">
        <f>AVERAGE(Monthly!N22:P22)</f>
        <v/>
      </c>
      <c r="F23" s="25">
        <f>AVERAGE(Monthly!Q22:S22)</f>
        <v/>
      </c>
      <c r="G23" s="25">
        <f>AVERAGE(Monthly!T22:V22)</f>
        <v/>
      </c>
      <c r="H23" s="25">
        <f>AVERAGE(Monthly!W22:Y22)</f>
        <v/>
      </c>
      <c r="I23" s="25">
        <f>AVERAGE(Monthly!Z22:AB22)</f>
        <v/>
      </c>
      <c r="J23" s="25">
        <f>AVERAGE(Monthly!AC22:AE22)</f>
        <v/>
      </c>
      <c r="K23" s="25" t="n"/>
      <c r="L23" s="25" t="n"/>
      <c r="M23" s="25" t="n"/>
    </row>
    <row r="24" ht="25.95" customHeight="1">
      <c r="A24" s="23" t="inlineStr">
        <is>
          <t>Galvalume, Exy-Mumbai, (0.5mm/CTL, 1220mm, AZ 150)</t>
        </is>
      </c>
      <c r="B24" s="25">
        <f>AVERAGE(Monthly!E23:G23)</f>
        <v/>
      </c>
      <c r="C24" s="25">
        <f>AVERAGE(Monthly!H23:J23)</f>
        <v/>
      </c>
      <c r="D24" s="25">
        <f>AVERAGE(Monthly!K23:M23)</f>
        <v/>
      </c>
      <c r="E24" s="25">
        <f>AVERAGE(Monthly!N23:P23)</f>
        <v/>
      </c>
      <c r="F24" s="25">
        <f>AVERAGE(Monthly!Q23:S23)</f>
        <v/>
      </c>
      <c r="G24" s="25">
        <f>AVERAGE(Monthly!T23:V23)</f>
        <v/>
      </c>
      <c r="H24" s="25">
        <f>AVERAGE(Monthly!W23:Y23)</f>
        <v/>
      </c>
      <c r="I24" s="25">
        <f>AVERAGE(Monthly!Z23:AB23)</f>
        <v/>
      </c>
      <c r="J24" s="25">
        <f>AVERAGE(Monthly!AC23:AE23)</f>
        <v/>
      </c>
      <c r="K24" s="25" t="n"/>
      <c r="L24" s="25" t="n"/>
      <c r="M24" s="25" t="n"/>
    </row>
    <row r="25" ht="25.95" customHeight="1">
      <c r="A25" s="23" t="inlineStr">
        <is>
          <t>Galvalume, Exy-Mumbai, (0.5mm/CTL, 1220mm, AZ 70)</t>
        </is>
      </c>
      <c r="B25" s="25">
        <f>AVERAGE(Monthly!E24:G24)</f>
        <v/>
      </c>
      <c r="C25" s="25">
        <f>AVERAGE(Monthly!H24:J24)</f>
        <v/>
      </c>
      <c r="D25" s="25">
        <f>AVERAGE(Monthly!K24:M24)</f>
        <v/>
      </c>
      <c r="E25" s="25">
        <f>AVERAGE(Monthly!N24:P24)</f>
        <v/>
      </c>
      <c r="F25" s="25">
        <f>AVERAGE(Monthly!Q24:S24)</f>
        <v/>
      </c>
      <c r="G25" s="25">
        <f>AVERAGE(Monthly!T24:V24)</f>
        <v/>
      </c>
      <c r="H25" s="25">
        <f>AVERAGE(Monthly!W24:Y24)</f>
        <v/>
      </c>
      <c r="I25" s="25">
        <f>AVERAGE(Monthly!Z24:AB24)</f>
        <v/>
      </c>
      <c r="J25" s="25">
        <f>AVERAGE(Monthly!AC24:AE24)</f>
        <v/>
      </c>
      <c r="K25" s="25" t="n"/>
      <c r="L25" s="25" t="n"/>
      <c r="M25" s="25" t="n"/>
    </row>
    <row r="26" ht="26.55" customHeight="1" thickBot="1">
      <c r="A26" s="24" t="inlineStr">
        <is>
          <t>PPGI, Exy-Mumbai, India (0.5mm / CTL, 90 GSM, IS14246)</t>
        </is>
      </c>
      <c r="B26" s="25" t="n"/>
      <c r="C26" s="25" t="n"/>
      <c r="D26" s="25" t="n"/>
      <c r="E26" s="25" t="n"/>
      <c r="F26" s="25">
        <f>AVERAGE(Monthly!Q25:S25)</f>
        <v/>
      </c>
      <c r="G26" s="25">
        <f>AVERAGE(Monthly!T25:V25)</f>
        <v/>
      </c>
      <c r="H26" s="25">
        <f>AVERAGE(Monthly!W25:Y25)</f>
        <v/>
      </c>
      <c r="I26" s="25">
        <f>AVERAGE(Monthly!Z25:AB25)</f>
        <v/>
      </c>
      <c r="J26" s="25">
        <f>AVERAGE(Monthly!AC25:AE25)</f>
        <v/>
      </c>
      <c r="K26" s="25" t="n"/>
      <c r="L26" s="25" t="n"/>
      <c r="M26" s="25" t="n"/>
    </row>
  </sheetData>
  <mergeCells count="4">
    <mergeCell ref="B1:E1"/>
    <mergeCell ref="J1:M1"/>
    <mergeCell ref="F1:I1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"/>
  <sheetViews>
    <sheetView zoomScale="74" workbookViewId="0">
      <pane xSplit="1" topLeftCell="P1" activePane="topRight" state="frozen"/>
      <selection pane="topRight" activeCell="W1" sqref="W1"/>
    </sheetView>
  </sheetViews>
  <sheetFormatPr baseColWidth="8" defaultRowHeight="14.4"/>
  <cols>
    <col width="24" customWidth="1" min="1" max="1"/>
    <col width="9.77734375" customWidth="1" min="2" max="3"/>
    <col width="8.77734375" bestFit="1" customWidth="1" min="4" max="4"/>
    <col width="9" bestFit="1" customWidth="1" min="5" max="5"/>
    <col width="8.77734375" bestFit="1" customWidth="1" min="6" max="7"/>
    <col width="9" bestFit="1" customWidth="1" min="8" max="9"/>
    <col width="8.77734375" bestFit="1" customWidth="1" min="10" max="10"/>
    <col width="9" bestFit="1" customWidth="1" min="11" max="13"/>
    <col width="8.77734375" bestFit="1" customWidth="1" min="14" max="30"/>
  </cols>
  <sheetData>
    <row r="1" ht="25.5" customHeight="1">
      <c r="A1" s="19" t="inlineStr">
        <is>
          <t>Combination (A - B)</t>
        </is>
      </c>
      <c r="B1" s="15" t="inlineStr">
        <is>
          <t>April'24</t>
        </is>
      </c>
      <c r="C1" s="15" t="inlineStr">
        <is>
          <t>May'24</t>
        </is>
      </c>
      <c r="D1" s="14" t="inlineStr">
        <is>
          <t>June'24</t>
        </is>
      </c>
      <c r="E1" s="14" t="inlineStr">
        <is>
          <t>July'24</t>
        </is>
      </c>
      <c r="F1" s="14" t="inlineStr">
        <is>
          <t>Aug'24</t>
        </is>
      </c>
      <c r="G1" s="14" t="inlineStr">
        <is>
          <t>Sept'24</t>
        </is>
      </c>
      <c r="H1" s="14" t="inlineStr">
        <is>
          <t>Oct'24</t>
        </is>
      </c>
      <c r="I1" s="14" t="inlineStr">
        <is>
          <t>Nov'24</t>
        </is>
      </c>
      <c r="J1" s="14" t="inlineStr">
        <is>
          <t>Dec'24</t>
        </is>
      </c>
      <c r="K1" s="14" t="inlineStr">
        <is>
          <t>Jan'25</t>
        </is>
      </c>
      <c r="L1" s="14" t="inlineStr">
        <is>
          <t>Feb'25</t>
        </is>
      </c>
      <c r="M1" s="14" t="inlineStr">
        <is>
          <t>March'25</t>
        </is>
      </c>
      <c r="N1" s="15" t="inlineStr">
        <is>
          <t>April'25</t>
        </is>
      </c>
      <c r="O1" s="15" t="inlineStr">
        <is>
          <t>May'25</t>
        </is>
      </c>
      <c r="P1" s="15" t="inlineStr">
        <is>
          <t>June"25</t>
        </is>
      </c>
      <c r="Q1" s="15" t="inlineStr">
        <is>
          <t>July"25</t>
        </is>
      </c>
      <c r="R1" s="15" t="inlineStr">
        <is>
          <t>Aug' 25</t>
        </is>
      </c>
      <c r="S1" s="15" t="inlineStr">
        <is>
          <t>Sept' 25</t>
        </is>
      </c>
      <c r="T1" s="15" t="inlineStr">
        <is>
          <t>Oct'25</t>
        </is>
      </c>
      <c r="U1" s="15" t="inlineStr">
        <is>
          <t>Nov'25</t>
        </is>
      </c>
      <c r="V1" s="15" t="inlineStr">
        <is>
          <t>Dec'25</t>
        </is>
      </c>
      <c r="W1" s="15" t="inlineStr">
        <is>
          <t>Jan'26</t>
        </is>
      </c>
      <c r="X1" s="15" t="inlineStr">
        <is>
          <t>Feb'26</t>
        </is>
      </c>
      <c r="Y1" s="15" t="inlineStr">
        <is>
          <t>Mar'25</t>
        </is>
      </c>
      <c r="Z1" s="15" t="inlineStr">
        <is>
          <t>April'26</t>
        </is>
      </c>
      <c r="AA1" s="15" t="inlineStr">
        <is>
          <t>May'26</t>
        </is>
      </c>
      <c r="AB1" s="15" t="inlineStr">
        <is>
          <t>June'26</t>
        </is>
      </c>
      <c r="AC1" s="15" t="inlineStr">
        <is>
          <t>July'26</t>
        </is>
      </c>
      <c r="AD1" s="79" t="inlineStr">
        <is>
          <t xml:space="preserve">Current </t>
        </is>
      </c>
      <c r="AE1" s="17" t="n"/>
    </row>
    <row r="2">
      <c r="A2" s="40" t="inlineStr">
        <is>
          <t>Pig Iron - TMT</t>
        </is>
      </c>
      <c r="B2" s="41">
        <f>Monthly!E2-Monthly!E12</f>
        <v/>
      </c>
      <c r="C2" s="41">
        <f>Monthly!F2-Monthly!F12</f>
        <v/>
      </c>
      <c r="D2" s="41">
        <f>Monthly!G2-Monthly!G12</f>
        <v/>
      </c>
      <c r="E2" s="41">
        <f>Monthly!H2-Monthly!H12</f>
        <v/>
      </c>
      <c r="F2" s="41">
        <f>Monthly!I2-Monthly!I12</f>
        <v/>
      </c>
      <c r="G2" s="41">
        <f>Monthly!J2-Monthly!J12</f>
        <v/>
      </c>
      <c r="H2" s="41">
        <f>Monthly!K2-Monthly!K12</f>
        <v/>
      </c>
      <c r="I2" s="41">
        <f>Monthly!L2-Monthly!L12</f>
        <v/>
      </c>
      <c r="J2" s="41">
        <f>Monthly!M2-Monthly!M12</f>
        <v/>
      </c>
      <c r="K2" s="41">
        <f>Monthly!N2-Monthly!N12</f>
        <v/>
      </c>
      <c r="L2" s="41">
        <f>Monthly!O2-Monthly!O12</f>
        <v/>
      </c>
      <c r="M2" s="41">
        <f>Monthly!P2-Monthly!P12</f>
        <v/>
      </c>
      <c r="N2" s="41">
        <f>Monthly!Q2-Monthly!Q12</f>
        <v/>
      </c>
      <c r="O2" s="41">
        <f>Monthly!R2-Monthly!R12</f>
        <v/>
      </c>
      <c r="P2" s="41">
        <f>Monthly!S2-Monthly!S12</f>
        <v/>
      </c>
      <c r="Q2" s="41">
        <f>Monthly!T2-Monthly!T12</f>
        <v/>
      </c>
      <c r="R2" s="41">
        <f>Monthly!U2-Monthly!U12</f>
        <v/>
      </c>
      <c r="S2" s="41">
        <f>Monthly!V2-Monthly!V12</f>
        <v/>
      </c>
      <c r="T2" s="41">
        <f>Monthly!W2-Monthly!W12</f>
        <v/>
      </c>
      <c r="U2" s="41">
        <f>Monthly!X2-Monthly!X12</f>
        <v/>
      </c>
      <c r="V2" s="41">
        <f>Monthly!Y2-Monthly!Y12</f>
        <v/>
      </c>
      <c r="W2" s="41">
        <f>Monthly!Z2-Monthly!Z12</f>
        <v/>
      </c>
      <c r="X2" s="41">
        <f>Monthly!AA2-Monthly!AA12</f>
        <v/>
      </c>
      <c r="Y2" s="41">
        <f>Monthly!AB2-Monthly!AB12</f>
        <v/>
      </c>
      <c r="Z2" s="41">
        <f>Monthly!AC2-Monthly!AC12</f>
        <v/>
      </c>
      <c r="AA2" s="41">
        <f>Monthly!AD2-Monthly!AD12</f>
        <v/>
      </c>
      <c r="AB2" s="41">
        <f>Monthly!AE2-Monthly!AE12</f>
        <v/>
      </c>
      <c r="AC2" s="41">
        <f>Monthly!AF2-Monthly!AF12</f>
        <v/>
      </c>
      <c r="AD2" s="41">
        <f>Monthly!AI2-Monthly!AI12</f>
        <v/>
      </c>
    </row>
    <row r="3">
      <c r="A3" s="40" t="inlineStr">
        <is>
          <t>Pig Iron - Billet</t>
        </is>
      </c>
      <c r="B3" s="41">
        <f>Monthly!E2-Monthly!E14</f>
        <v/>
      </c>
      <c r="C3" s="41">
        <f>Monthly!F2-Monthly!F14</f>
        <v/>
      </c>
      <c r="D3" s="41">
        <f>Monthly!G2-Monthly!G14</f>
        <v/>
      </c>
      <c r="E3" s="41">
        <f>Monthly!H2-Monthly!H14</f>
        <v/>
      </c>
      <c r="F3" s="41">
        <f>Monthly!I2-Monthly!I14</f>
        <v/>
      </c>
      <c r="G3" s="41">
        <f>Monthly!J2-Monthly!J14</f>
        <v/>
      </c>
      <c r="H3" s="41">
        <f>Monthly!K2-Monthly!K14</f>
        <v/>
      </c>
      <c r="I3" s="41">
        <f>Monthly!L2-Monthly!L14</f>
        <v/>
      </c>
      <c r="J3" s="41">
        <f>Monthly!M2-Monthly!M14</f>
        <v/>
      </c>
      <c r="K3" s="41">
        <f>Monthly!N2-Monthly!N14</f>
        <v/>
      </c>
      <c r="L3" s="41">
        <f>Monthly!O2-Monthly!O14</f>
        <v/>
      </c>
      <c r="M3" s="41">
        <f>Monthly!P2-Monthly!P14</f>
        <v/>
      </c>
      <c r="N3" s="41">
        <f>Monthly!Q2-Monthly!Q14</f>
        <v/>
      </c>
      <c r="O3" s="41">
        <f>Monthly!R2-Monthly!R14</f>
        <v/>
      </c>
      <c r="P3" s="41">
        <f>Monthly!S2-Monthly!S14</f>
        <v/>
      </c>
      <c r="Q3" s="41">
        <f>Monthly!T2-Monthly!T14</f>
        <v/>
      </c>
      <c r="R3" s="41">
        <f>Monthly!U2-Monthly!U14</f>
        <v/>
      </c>
      <c r="S3" s="41">
        <f>Monthly!V2-Monthly!V14</f>
        <v/>
      </c>
      <c r="T3" s="41">
        <f>Monthly!W2-Monthly!W14</f>
        <v/>
      </c>
      <c r="U3" s="41">
        <f>Monthly!X2-Monthly!X14</f>
        <v/>
      </c>
      <c r="V3" s="41">
        <f>Monthly!Y2-Monthly!Y14</f>
        <v/>
      </c>
      <c r="W3" s="41">
        <f>Monthly!Z2-Monthly!Z14</f>
        <v/>
      </c>
      <c r="X3" s="41">
        <f>Monthly!AA2-Monthly!AA14</f>
        <v/>
      </c>
      <c r="Y3" s="41">
        <f>Monthly!AB2-Monthly!AB14</f>
        <v/>
      </c>
      <c r="Z3" s="41">
        <f>Monthly!AC2-Monthly!AC14</f>
        <v/>
      </c>
      <c r="AA3" s="41">
        <f>Monthly!AD2-Monthly!AD14</f>
        <v/>
      </c>
      <c r="AB3" s="41">
        <f>Monthly!AE2-Monthly!AE14</f>
        <v/>
      </c>
      <c r="AC3" s="41">
        <f>Monthly!AF2-Monthly!AF14</f>
        <v/>
      </c>
      <c r="AD3" s="41">
        <f>Monthly!AI2-Monthly!AI14</f>
        <v/>
      </c>
      <c r="AE3" s="20" t="n"/>
    </row>
    <row r="4">
      <c r="A4" s="40" t="inlineStr">
        <is>
          <t>Pig Iron - Sponge Iron</t>
        </is>
      </c>
      <c r="B4" s="41">
        <f>Monthly!E2-Monthly!E10</f>
        <v/>
      </c>
      <c r="C4" s="41">
        <f>Monthly!F2-Monthly!F10</f>
        <v/>
      </c>
      <c r="D4" s="41">
        <f>Monthly!G2-Monthly!G10</f>
        <v/>
      </c>
      <c r="E4" s="41">
        <f>Monthly!H2-Monthly!H10</f>
        <v/>
      </c>
      <c r="F4" s="41">
        <f>Monthly!I2-Monthly!I10</f>
        <v/>
      </c>
      <c r="G4" s="41">
        <f>Monthly!J2-Monthly!J10</f>
        <v/>
      </c>
      <c r="H4" s="41">
        <f>Monthly!K2-Monthly!K10</f>
        <v/>
      </c>
      <c r="I4" s="41">
        <f>Monthly!L2-Monthly!L10</f>
        <v/>
      </c>
      <c r="J4" s="41">
        <f>Monthly!M2-Monthly!M10</f>
        <v/>
      </c>
      <c r="K4" s="41">
        <f>Monthly!N2-Monthly!N10</f>
        <v/>
      </c>
      <c r="L4" s="41">
        <f>Monthly!O2-Monthly!O10</f>
        <v/>
      </c>
      <c r="M4" s="41">
        <f>Monthly!P2-Monthly!P10</f>
        <v/>
      </c>
      <c r="N4" s="41">
        <f>Monthly!Q2-Monthly!Q10</f>
        <v/>
      </c>
      <c r="O4" s="41">
        <f>Monthly!R2-Monthly!R10</f>
        <v/>
      </c>
      <c r="P4" s="41">
        <f>Monthly!S2-Monthly!S10</f>
        <v/>
      </c>
      <c r="Q4" s="41">
        <f>Monthly!T2-Monthly!T10</f>
        <v/>
      </c>
      <c r="R4" s="41">
        <f>Monthly!U2-Monthly!U10</f>
        <v/>
      </c>
      <c r="S4" s="41">
        <f>Monthly!V2-Monthly!V10</f>
        <v/>
      </c>
      <c r="T4" s="41">
        <f>Monthly!W2-Monthly!W10</f>
        <v/>
      </c>
      <c r="U4" s="41">
        <f>Monthly!X2-Monthly!X10</f>
        <v/>
      </c>
      <c r="V4" s="41">
        <f>Monthly!Y2-Monthly!Y10</f>
        <v/>
      </c>
      <c r="W4" s="41">
        <f>Monthly!Z2-Monthly!Z10</f>
        <v/>
      </c>
      <c r="X4" s="41">
        <f>Monthly!AA2-Monthly!AA10</f>
        <v/>
      </c>
      <c r="Y4" s="41">
        <f>Monthly!AB2-Monthly!AB10</f>
        <v/>
      </c>
      <c r="Z4" s="41">
        <f>Monthly!AC2-Monthly!AC10</f>
        <v/>
      </c>
      <c r="AA4" s="41">
        <f>Monthly!AD2-Monthly!AD10</f>
        <v/>
      </c>
      <c r="AB4" s="41">
        <f>Monthly!AE2-Monthly!AE10</f>
        <v/>
      </c>
      <c r="AC4" s="41">
        <f>Monthly!AF2-Monthly!AF10</f>
        <v/>
      </c>
      <c r="AD4" s="41">
        <f>Monthly!AI2-Monthly!AI10</f>
        <v/>
      </c>
    </row>
    <row r="5">
      <c r="A5" s="40" t="inlineStr">
        <is>
          <t>TMT - Billet</t>
        </is>
      </c>
      <c r="B5" s="42">
        <f>Monthly!E12-Monthly!E14</f>
        <v/>
      </c>
      <c r="C5" s="42">
        <f>Monthly!F12-Monthly!F14</f>
        <v/>
      </c>
      <c r="D5" s="42">
        <f>Monthly!G12-Monthly!G14</f>
        <v/>
      </c>
      <c r="E5" s="42">
        <f>Monthly!H12-Monthly!H14</f>
        <v/>
      </c>
      <c r="F5" s="42">
        <f>Monthly!I12-Monthly!I14</f>
        <v/>
      </c>
      <c r="G5" s="42">
        <f>Monthly!J12-Monthly!J14</f>
        <v/>
      </c>
      <c r="H5" s="42">
        <f>Monthly!K12-Monthly!K14</f>
        <v/>
      </c>
      <c r="I5" s="42">
        <f>Monthly!L12-Monthly!L14</f>
        <v/>
      </c>
      <c r="J5" s="42">
        <f>Monthly!M12-Monthly!M14</f>
        <v/>
      </c>
      <c r="K5" s="42">
        <f>Monthly!N12-Monthly!N14</f>
        <v/>
      </c>
      <c r="L5" s="42">
        <f>Monthly!O12-Monthly!O14</f>
        <v/>
      </c>
      <c r="M5" s="42">
        <f>Monthly!P12-Monthly!P14</f>
        <v/>
      </c>
      <c r="N5" s="42">
        <f>Monthly!Q12-Monthly!Q14</f>
        <v/>
      </c>
      <c r="O5" s="42">
        <f>Monthly!R12-Monthly!R14</f>
        <v/>
      </c>
      <c r="P5" s="42">
        <f>Monthly!S12-Monthly!S14</f>
        <v/>
      </c>
      <c r="Q5" s="42">
        <f>Monthly!T12-Monthly!T14</f>
        <v/>
      </c>
      <c r="R5" s="42">
        <f>Monthly!U12-Monthly!U14</f>
        <v/>
      </c>
      <c r="S5" s="42">
        <f>Monthly!V12-Monthly!V14</f>
        <v/>
      </c>
      <c r="T5" s="42">
        <f>Monthly!W12-Monthly!W14</f>
        <v/>
      </c>
      <c r="U5" s="42">
        <f>Monthly!X12-Monthly!X14</f>
        <v/>
      </c>
      <c r="V5" s="42">
        <f>Monthly!Y12-Monthly!Y14</f>
        <v/>
      </c>
      <c r="W5" s="42">
        <f>Monthly!Z12-Monthly!Z14</f>
        <v/>
      </c>
      <c r="X5" s="42">
        <f>Monthly!AA12-Monthly!AA14</f>
        <v/>
      </c>
      <c r="Y5" s="42">
        <f>Monthly!AB12-Monthly!AB14</f>
        <v/>
      </c>
      <c r="Z5" s="42">
        <f>Monthly!AC12-Monthly!AC14</f>
        <v/>
      </c>
      <c r="AA5" s="42">
        <f>Monthly!AD12-Monthly!AD14</f>
        <v/>
      </c>
      <c r="AB5" s="42">
        <f>Monthly!AE12-Monthly!AE14</f>
        <v/>
      </c>
      <c r="AC5" s="42">
        <f>Monthly!AF12-Monthly!AF14</f>
        <v/>
      </c>
      <c r="AD5" s="42">
        <f>Monthly!AI12-Monthly!AI14</f>
        <v/>
      </c>
    </row>
    <row r="6">
      <c r="A6" s="40" t="inlineStr">
        <is>
          <t>TMT - Sponge Iron</t>
        </is>
      </c>
      <c r="B6" s="42">
        <f>Monthly!E12-Monthly!E10</f>
        <v/>
      </c>
      <c r="C6" s="42">
        <f>Monthly!F12-Monthly!F10</f>
        <v/>
      </c>
      <c r="D6" s="42">
        <f>Monthly!G12-Monthly!G10</f>
        <v/>
      </c>
      <c r="E6" s="42">
        <f>Monthly!H12-Monthly!H10</f>
        <v/>
      </c>
      <c r="F6" s="42">
        <f>Monthly!I12-Monthly!I10</f>
        <v/>
      </c>
      <c r="G6" s="42">
        <f>Monthly!J12-Monthly!J10</f>
        <v/>
      </c>
      <c r="H6" s="42">
        <f>Monthly!K12-Monthly!K10</f>
        <v/>
      </c>
      <c r="I6" s="42">
        <f>Monthly!L12-Monthly!L10</f>
        <v/>
      </c>
      <c r="J6" s="42">
        <f>Monthly!M12-Monthly!M10</f>
        <v/>
      </c>
      <c r="K6" s="42">
        <f>Monthly!N12-Monthly!N10</f>
        <v/>
      </c>
      <c r="L6" s="42">
        <f>Monthly!O12-Monthly!O10</f>
        <v/>
      </c>
      <c r="M6" s="42">
        <f>Monthly!P12-Monthly!P10</f>
        <v/>
      </c>
      <c r="N6" s="42">
        <f>Monthly!Q12-Monthly!Q10</f>
        <v/>
      </c>
      <c r="O6" s="42">
        <f>Monthly!R12-Monthly!R10</f>
        <v/>
      </c>
      <c r="P6" s="42">
        <f>Monthly!S12-Monthly!S10</f>
        <v/>
      </c>
      <c r="Q6" s="42">
        <f>Monthly!T12-Monthly!T10</f>
        <v/>
      </c>
      <c r="R6" s="42">
        <f>Monthly!U12-Monthly!U10</f>
        <v/>
      </c>
      <c r="S6" s="42">
        <f>Monthly!V12-Monthly!V10</f>
        <v/>
      </c>
      <c r="T6" s="42">
        <f>Monthly!W12-Monthly!W10</f>
        <v/>
      </c>
      <c r="U6" s="42">
        <f>Monthly!X12-Monthly!X10</f>
        <v/>
      </c>
      <c r="V6" s="42">
        <f>Monthly!Y12-Monthly!Y10</f>
        <v/>
      </c>
      <c r="W6" s="42">
        <f>Monthly!Z12-Monthly!Z10</f>
        <v/>
      </c>
      <c r="X6" s="42">
        <f>Monthly!AA12-Monthly!AA10</f>
        <v/>
      </c>
      <c r="Y6" s="42">
        <f>Monthly!AB12-Monthly!AB10</f>
        <v/>
      </c>
      <c r="Z6" s="42">
        <f>Monthly!AC12-Monthly!AC10</f>
        <v/>
      </c>
      <c r="AA6" s="42">
        <f>Monthly!AD12-Monthly!AD10</f>
        <v/>
      </c>
      <c r="AB6" s="42">
        <f>Monthly!AE12-Monthly!AE10</f>
        <v/>
      </c>
      <c r="AC6" s="42">
        <f>Monthly!AF12-Monthly!AF10</f>
        <v/>
      </c>
      <c r="AD6" s="42">
        <f>Monthly!AI12-Monthly!AI10</f>
        <v/>
      </c>
    </row>
    <row r="7">
      <c r="A7" s="40" t="inlineStr">
        <is>
          <t>Billet - Sponge Iron</t>
        </is>
      </c>
      <c r="B7" s="42">
        <f>Monthly!E14-Monthly!E10</f>
        <v/>
      </c>
      <c r="C7" s="42">
        <f>Monthly!F14-Monthly!F10</f>
        <v/>
      </c>
      <c r="D7" s="42">
        <f>Monthly!G14-Monthly!G10</f>
        <v/>
      </c>
      <c r="E7" s="42">
        <f>Monthly!H14-Monthly!H10</f>
        <v/>
      </c>
      <c r="F7" s="42">
        <f>Monthly!I14-Monthly!I10</f>
        <v/>
      </c>
      <c r="G7" s="42">
        <f>Monthly!J14-Monthly!J10</f>
        <v/>
      </c>
      <c r="H7" s="42">
        <f>Monthly!K14-Monthly!K10</f>
        <v/>
      </c>
      <c r="I7" s="42">
        <f>Monthly!L14-Monthly!L10</f>
        <v/>
      </c>
      <c r="J7" s="42">
        <f>Monthly!M14-Monthly!M10</f>
        <v/>
      </c>
      <c r="K7" s="42">
        <f>Monthly!N14-Monthly!N10</f>
        <v/>
      </c>
      <c r="L7" s="42">
        <f>Monthly!O14-Monthly!O10</f>
        <v/>
      </c>
      <c r="M7" s="42">
        <f>Monthly!P14-Monthly!P10</f>
        <v/>
      </c>
      <c r="N7" s="42">
        <f>Monthly!Q14-Monthly!Q10</f>
        <v/>
      </c>
      <c r="O7" s="42">
        <f>Monthly!R14-Monthly!R10</f>
        <v/>
      </c>
      <c r="P7" s="42">
        <f>Monthly!S14-Monthly!S10</f>
        <v/>
      </c>
      <c r="Q7" s="42">
        <f>Monthly!T14-Monthly!T10</f>
        <v/>
      </c>
      <c r="R7" s="42">
        <f>Monthly!U14-Monthly!U10</f>
        <v/>
      </c>
      <c r="S7" s="42">
        <f>Monthly!V14-Monthly!V10</f>
        <v/>
      </c>
      <c r="T7" s="42">
        <f>Monthly!W14-Monthly!W10</f>
        <v/>
      </c>
      <c r="U7" s="42">
        <f>Monthly!X14-Monthly!X10</f>
        <v/>
      </c>
      <c r="V7" s="42">
        <f>Monthly!Y14-Monthly!Y10</f>
        <v/>
      </c>
      <c r="W7" s="42">
        <f>Monthly!Z14-Monthly!Z10</f>
        <v/>
      </c>
      <c r="X7" s="42">
        <f>Monthly!AA14-Monthly!AA10</f>
        <v/>
      </c>
      <c r="Y7" s="42">
        <f>Monthly!AB14-Monthly!AB10</f>
        <v/>
      </c>
      <c r="Z7" s="42">
        <f>Monthly!AC14-Monthly!AC10</f>
        <v/>
      </c>
      <c r="AA7" s="42">
        <f>Monthly!AD14-Monthly!AD10</f>
        <v/>
      </c>
      <c r="AB7" s="42">
        <f>Monthly!AE14-Monthly!AE10</f>
        <v/>
      </c>
      <c r="AC7" s="42">
        <f>Monthly!AF14-Monthly!AF10</f>
        <v/>
      </c>
      <c r="AD7" s="42">
        <f>Monthly!AI14-Monthly!AI10</f>
        <v/>
      </c>
    </row>
    <row r="9">
      <c r="A9" s="18" t="n"/>
      <c r="B9" s="29" t="n"/>
      <c r="C9" s="29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F9" sqref="F9"/>
    </sheetView>
  </sheetViews>
  <sheetFormatPr baseColWidth="8" defaultRowHeight="14.4"/>
  <cols>
    <col width="24" customWidth="1" min="1" max="1"/>
  </cols>
  <sheetData>
    <row r="1">
      <c r="A1" s="71" t="inlineStr">
        <is>
          <t>Combination (A - B)</t>
        </is>
      </c>
      <c r="B1" s="70" t="inlineStr">
        <is>
          <t>2024-2025</t>
        </is>
      </c>
      <c r="C1" s="58" t="n"/>
      <c r="D1" s="58" t="n"/>
      <c r="E1" s="59" t="n"/>
      <c r="F1" s="70" t="inlineStr">
        <is>
          <t>2025-2026</t>
        </is>
      </c>
      <c r="G1" s="58" t="n"/>
      <c r="H1" s="58" t="n"/>
      <c r="I1" s="59" t="n"/>
      <c r="J1" s="70" t="inlineStr">
        <is>
          <t>2026-27</t>
        </is>
      </c>
      <c r="K1" s="58" t="n"/>
      <c r="L1" s="58" t="n"/>
      <c r="M1" s="59" t="n"/>
    </row>
    <row r="2">
      <c r="A2" s="61" t="n"/>
      <c r="B2" s="43" t="inlineStr">
        <is>
          <t>Quarter 1</t>
        </is>
      </c>
      <c r="C2" s="43" t="inlineStr">
        <is>
          <t>Quarter 2</t>
        </is>
      </c>
      <c r="D2" s="43" t="inlineStr">
        <is>
          <t>Quarter 3</t>
        </is>
      </c>
      <c r="E2" s="43" t="inlineStr">
        <is>
          <t>Quarter 4</t>
        </is>
      </c>
      <c r="F2" s="43" t="inlineStr">
        <is>
          <t>Quarter 1</t>
        </is>
      </c>
      <c r="G2" s="43" t="inlineStr">
        <is>
          <t>Quarter 2</t>
        </is>
      </c>
      <c r="H2" s="43" t="inlineStr">
        <is>
          <t>Quarter 3</t>
        </is>
      </c>
      <c r="I2" s="43" t="inlineStr">
        <is>
          <t>Quarter 4</t>
        </is>
      </c>
      <c r="J2" s="43" t="inlineStr">
        <is>
          <t>Quarter 1</t>
        </is>
      </c>
      <c r="K2" s="43" t="inlineStr">
        <is>
          <t>Quarter 2</t>
        </is>
      </c>
      <c r="L2" s="43" t="inlineStr">
        <is>
          <t>Quarter 3</t>
        </is>
      </c>
      <c r="M2" s="43" t="inlineStr">
        <is>
          <t>Quarter 4</t>
        </is>
      </c>
    </row>
    <row r="3">
      <c r="A3" s="44" t="inlineStr">
        <is>
          <t>Pig Iron - TMT</t>
        </is>
      </c>
      <c r="B3" s="45">
        <f>Quarterly!B3-Quarterly!B13</f>
        <v/>
      </c>
      <c r="C3" s="45">
        <f>Quarterly!C3-Quarterly!C13</f>
        <v/>
      </c>
      <c r="D3" s="45">
        <f>Quarterly!D3-Quarterly!D13</f>
        <v/>
      </c>
      <c r="E3" s="45">
        <f>Quarterly!E3-Quarterly!E13</f>
        <v/>
      </c>
      <c r="F3" s="45">
        <f>Quarterly!F3-Quarterly!F13</f>
        <v/>
      </c>
      <c r="G3" s="45">
        <f>Quarterly!G3-Quarterly!G13</f>
        <v/>
      </c>
      <c r="H3" s="45">
        <f>Quarterly!H3-Quarterly!H13</f>
        <v/>
      </c>
      <c r="I3" s="45">
        <f>Quarterly!I3-Quarterly!I13</f>
        <v/>
      </c>
      <c r="J3" s="45">
        <f>Quarterly!J3-Quarterly!J13</f>
        <v/>
      </c>
      <c r="K3" s="45">
        <f>Quarterly!K3-Quarterly!K13</f>
        <v/>
      </c>
      <c r="L3" s="45">
        <f>Quarterly!L3-Quarterly!L13</f>
        <v/>
      </c>
      <c r="M3" s="45">
        <f>Quarterly!M3-Quarterly!M13</f>
        <v/>
      </c>
    </row>
    <row r="4">
      <c r="A4" s="44" t="inlineStr">
        <is>
          <t>Pig Iron - Billet</t>
        </is>
      </c>
      <c r="B4" s="45">
        <f>Quarterly!B3-Quarterly!B15</f>
        <v/>
      </c>
      <c r="C4" s="45">
        <f>Quarterly!C3-Quarterly!C15</f>
        <v/>
      </c>
      <c r="D4" s="45">
        <f>Quarterly!D3-Quarterly!D15</f>
        <v/>
      </c>
      <c r="E4" s="45">
        <f>Quarterly!E3-Quarterly!E15</f>
        <v/>
      </c>
      <c r="F4" s="45">
        <f>Quarterly!F3-Quarterly!F15</f>
        <v/>
      </c>
      <c r="G4" s="45">
        <f>Quarterly!G3-Quarterly!G15</f>
        <v/>
      </c>
      <c r="H4" s="45">
        <f>Quarterly!H3-Quarterly!H15</f>
        <v/>
      </c>
      <c r="I4" s="45">
        <f>Quarterly!I3-Quarterly!I15</f>
        <v/>
      </c>
      <c r="J4" s="45">
        <f>Quarterly!J3-Quarterly!J15</f>
        <v/>
      </c>
      <c r="K4" s="45">
        <f>Quarterly!K3-Quarterly!K15</f>
        <v/>
      </c>
      <c r="L4" s="45">
        <f>Quarterly!L3-Quarterly!L15</f>
        <v/>
      </c>
      <c r="M4" s="45">
        <f>Quarterly!M3-Quarterly!M15</f>
        <v/>
      </c>
    </row>
    <row r="5">
      <c r="A5" s="44" t="inlineStr">
        <is>
          <t>Pig Iron - Sponge Iron</t>
        </is>
      </c>
      <c r="B5" s="45">
        <f>Quarterly!B3-Quarterly!B11</f>
        <v/>
      </c>
      <c r="C5" s="45">
        <f>Quarterly!C3-Quarterly!C11</f>
        <v/>
      </c>
      <c r="D5" s="45">
        <f>Quarterly!D3-Quarterly!D11</f>
        <v/>
      </c>
      <c r="E5" s="45">
        <f>Quarterly!E3-Quarterly!E11</f>
        <v/>
      </c>
      <c r="F5" s="45">
        <f>Quarterly!F3-Quarterly!F11</f>
        <v/>
      </c>
      <c r="G5" s="45">
        <f>Quarterly!G3-Quarterly!G11</f>
        <v/>
      </c>
      <c r="H5" s="45">
        <f>Quarterly!H3-Quarterly!H11</f>
        <v/>
      </c>
      <c r="I5" s="45">
        <f>Quarterly!I3-Quarterly!I11</f>
        <v/>
      </c>
      <c r="J5" s="45">
        <f>Quarterly!J3-Quarterly!J11</f>
        <v/>
      </c>
      <c r="K5" s="45">
        <f>Quarterly!K3-Quarterly!K11</f>
        <v/>
      </c>
      <c r="L5" s="45">
        <f>Quarterly!L3-Quarterly!L11</f>
        <v/>
      </c>
      <c r="M5" s="45">
        <f>Quarterly!M3-Quarterly!M11</f>
        <v/>
      </c>
    </row>
    <row r="6">
      <c r="A6" s="44" t="inlineStr">
        <is>
          <t>TMT - Billet</t>
        </is>
      </c>
      <c r="B6" s="45">
        <f>Quarterly!B13-Quarterly!B15</f>
        <v/>
      </c>
      <c r="C6" s="45">
        <f>Quarterly!C13-Quarterly!C15</f>
        <v/>
      </c>
      <c r="D6" s="45">
        <f>Quarterly!D13-Quarterly!D15</f>
        <v/>
      </c>
      <c r="E6" s="45">
        <f>Quarterly!E13-Quarterly!E15</f>
        <v/>
      </c>
      <c r="F6" s="45">
        <f>Quarterly!F13-Quarterly!F15</f>
        <v/>
      </c>
      <c r="G6" s="45">
        <f>Quarterly!G13-Quarterly!G15</f>
        <v/>
      </c>
      <c r="H6" s="45">
        <f>Quarterly!H13-Quarterly!H15</f>
        <v/>
      </c>
      <c r="I6" s="45">
        <f>Quarterly!I13-Quarterly!I15</f>
        <v/>
      </c>
      <c r="J6" s="45">
        <f>Quarterly!J13-Quarterly!J15</f>
        <v/>
      </c>
      <c r="K6" s="45">
        <f>Quarterly!K13-Quarterly!K15</f>
        <v/>
      </c>
      <c r="L6" s="45">
        <f>Quarterly!L13-Quarterly!L15</f>
        <v/>
      </c>
      <c r="M6" s="45">
        <f>Quarterly!M13-Quarterly!M15</f>
        <v/>
      </c>
    </row>
    <row r="7">
      <c r="A7" s="44" t="inlineStr">
        <is>
          <t>TMT - Sponge Iron</t>
        </is>
      </c>
      <c r="B7" s="45">
        <f>Quarterly!B13-Quarterly!B11</f>
        <v/>
      </c>
      <c r="C7" s="45">
        <f>Quarterly!C13-Quarterly!C11</f>
        <v/>
      </c>
      <c r="D7" s="45">
        <f>Quarterly!D13-Quarterly!D11</f>
        <v/>
      </c>
      <c r="E7" s="45">
        <f>Quarterly!E13-Quarterly!E11</f>
        <v/>
      </c>
      <c r="F7" s="45">
        <f>Quarterly!F13-Quarterly!F11</f>
        <v/>
      </c>
      <c r="G7" s="45">
        <f>Quarterly!G13-Quarterly!G11</f>
        <v/>
      </c>
      <c r="H7" s="45">
        <f>Quarterly!H13-Quarterly!H11</f>
        <v/>
      </c>
      <c r="I7" s="45">
        <f>Quarterly!I13-Quarterly!I11</f>
        <v/>
      </c>
      <c r="J7" s="45">
        <f>Quarterly!J13-Quarterly!J11</f>
        <v/>
      </c>
      <c r="K7" s="45">
        <f>Quarterly!K13-Quarterly!K11</f>
        <v/>
      </c>
      <c r="L7" s="45">
        <f>Quarterly!L13-Quarterly!L11</f>
        <v/>
      </c>
      <c r="M7" s="45">
        <f>Quarterly!M13-Quarterly!M11</f>
        <v/>
      </c>
    </row>
    <row r="8">
      <c r="A8" s="44" t="inlineStr">
        <is>
          <t>Billet - Sponge Iron</t>
        </is>
      </c>
      <c r="B8" s="45">
        <f>Quarterly!B15-Quarterly!B11</f>
        <v/>
      </c>
      <c r="C8" s="45">
        <f>Quarterly!C15-Quarterly!C11</f>
        <v/>
      </c>
      <c r="D8" s="45">
        <f>Quarterly!D15-Quarterly!D11</f>
        <v/>
      </c>
      <c r="E8" s="45">
        <f>Quarterly!E15-Quarterly!E11</f>
        <v/>
      </c>
      <c r="F8" s="45">
        <f>Quarterly!F15-Quarterly!F11</f>
        <v/>
      </c>
      <c r="G8" s="45">
        <f>Quarterly!G15-Quarterly!G11</f>
        <v/>
      </c>
      <c r="H8" s="45">
        <f>Quarterly!H15-Quarterly!H11</f>
        <v/>
      </c>
      <c r="I8" s="45">
        <f>Quarterly!I15-Quarterly!I11</f>
        <v/>
      </c>
      <c r="J8" s="45">
        <f>Quarterly!J15-Quarterly!J11</f>
        <v/>
      </c>
      <c r="K8" s="45">
        <f>Quarterly!K15-Quarterly!K11</f>
        <v/>
      </c>
      <c r="L8" s="45">
        <f>Quarterly!L15-Quarterly!L11</f>
        <v/>
      </c>
      <c r="M8" s="45">
        <f>Quarterly!M15-Quarterly!M11</f>
        <v/>
      </c>
    </row>
  </sheetData>
  <mergeCells count="4">
    <mergeCell ref="B1:E1"/>
    <mergeCell ref="J1:M1"/>
    <mergeCell ref="F1:I1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5"/>
  <sheetViews>
    <sheetView zoomScale="57" workbookViewId="0">
      <pane xSplit="4" topLeftCell="U1" activePane="topRight" state="frozen"/>
      <selection pane="topRight" activeCell="AF28" sqref="AF28"/>
    </sheetView>
  </sheetViews>
  <sheetFormatPr baseColWidth="8" defaultRowHeight="15.6"/>
  <cols>
    <col width="51.5546875" bestFit="1" customWidth="1" min="1" max="1"/>
    <col hidden="1" width="14" customWidth="1" min="2" max="2"/>
    <col hidden="1" width="9.21875" customWidth="1" min="3" max="3"/>
    <col hidden="1" width="8.33203125" customWidth="1" min="4" max="4"/>
    <col width="8.33203125" customWidth="1" min="5" max="16"/>
    <col width="10.21875" customWidth="1" min="17" max="21"/>
    <col width="10.21875" customWidth="1" style="12" min="22" max="26"/>
    <col width="9.5546875" customWidth="1" style="72" min="27" max="32"/>
    <col width="14.21875" customWidth="1" style="72" min="33" max="33"/>
    <col width="60.33203125" bestFit="1" customWidth="1" style="10" min="34" max="34"/>
    <col width="78.5546875" bestFit="1" customWidth="1" min="35" max="35"/>
    <col hidden="1" width="43.33203125" customWidth="1" min="36" max="37"/>
    <col width="10.6640625" bestFit="1" customWidth="1" min="38" max="38"/>
  </cols>
  <sheetData>
    <row r="1" ht="25.5" customFormat="1" customHeight="1" s="39">
      <c r="A1" s="34" t="inlineStr">
        <is>
          <t>Material</t>
        </is>
      </c>
      <c r="B1" s="34" t="inlineStr">
        <is>
          <t>Link (T-1 Prices)</t>
        </is>
      </c>
      <c r="C1" s="34" t="inlineStr">
        <is>
          <t>Link (Monthly Average)</t>
        </is>
      </c>
      <c r="D1" s="35" t="n"/>
      <c r="E1" s="36" t="inlineStr">
        <is>
          <t>April'24</t>
        </is>
      </c>
      <c r="F1" s="36" t="inlineStr">
        <is>
          <t>May'24</t>
        </is>
      </c>
      <c r="G1" s="35" t="inlineStr">
        <is>
          <t>June'24</t>
        </is>
      </c>
      <c r="H1" s="35" t="inlineStr">
        <is>
          <t>July'24</t>
        </is>
      </c>
      <c r="I1" s="35" t="inlineStr">
        <is>
          <t>Aug'24</t>
        </is>
      </c>
      <c r="J1" s="35" t="inlineStr">
        <is>
          <t>Sept'24</t>
        </is>
      </c>
      <c r="K1" s="35" t="inlineStr">
        <is>
          <t>Oct'24</t>
        </is>
      </c>
      <c r="L1" s="35" t="inlineStr">
        <is>
          <t>Nov'24</t>
        </is>
      </c>
      <c r="M1" s="35" t="inlineStr">
        <is>
          <t>Dec'24</t>
        </is>
      </c>
      <c r="N1" s="35" t="inlineStr">
        <is>
          <t>Jan'25</t>
        </is>
      </c>
      <c r="O1" s="35" t="inlineStr">
        <is>
          <t>Feb'25</t>
        </is>
      </c>
      <c r="P1" s="35" t="inlineStr">
        <is>
          <t>March'25</t>
        </is>
      </c>
      <c r="Q1" s="36" t="inlineStr">
        <is>
          <t>April'25</t>
        </is>
      </c>
      <c r="R1" s="36" t="inlineStr">
        <is>
          <t>May'25</t>
        </is>
      </c>
      <c r="S1" s="36" t="inlineStr">
        <is>
          <t>June"25</t>
        </is>
      </c>
      <c r="T1" s="36" t="inlineStr">
        <is>
          <t>July"25</t>
        </is>
      </c>
      <c r="U1" s="36" t="inlineStr">
        <is>
          <t>Aug' 25</t>
        </is>
      </c>
      <c r="V1" s="36" t="inlineStr">
        <is>
          <t>Sept' 25</t>
        </is>
      </c>
      <c r="W1" s="36" t="inlineStr">
        <is>
          <t>Oct'25</t>
        </is>
      </c>
      <c r="X1" s="36" t="inlineStr">
        <is>
          <t>Nov'25</t>
        </is>
      </c>
      <c r="Y1" s="36" t="inlineStr">
        <is>
          <t>Dec'25</t>
        </is>
      </c>
      <c r="Z1" s="36" t="inlineStr">
        <is>
          <t>Jan'26</t>
        </is>
      </c>
      <c r="AA1" s="36" t="inlineStr">
        <is>
          <t>Feb'26</t>
        </is>
      </c>
      <c r="AB1" s="36" t="inlineStr">
        <is>
          <t>Mar'26</t>
        </is>
      </c>
      <c r="AC1" s="36" t="inlineStr">
        <is>
          <t>April'26</t>
        </is>
      </c>
      <c r="AD1" s="36" t="inlineStr">
        <is>
          <t>May'26</t>
        </is>
      </c>
      <c r="AE1" s="36" t="inlineStr">
        <is>
          <t>June'26</t>
        </is>
      </c>
      <c r="AF1" s="36" t="inlineStr">
        <is>
          <t>July'26</t>
        </is>
      </c>
      <c r="AG1" s="73" t="inlineStr">
        <is>
          <t xml:space="preserve">Current </t>
        </is>
      </c>
      <c r="AH1" s="38" t="inlineStr">
        <is>
          <t>Link (Monthly Average)</t>
        </is>
      </c>
      <c r="AI1" s="34" t="inlineStr">
        <is>
          <t>url</t>
        </is>
      </c>
      <c r="AJ1" s="34" t="inlineStr">
        <is>
          <t>Link (T-1 Prices)</t>
        </is>
      </c>
      <c r="AK1" s="34" t="inlineStr">
        <is>
          <t>Link (Monthly Average)</t>
        </is>
      </c>
      <c r="AL1" s="38" t="n"/>
    </row>
    <row r="2">
      <c r="A2" s="2" t="inlineStr">
        <is>
          <t>Pig Iron(Raipur)(SG)</t>
        </is>
      </c>
      <c r="B2" s="3" t="inlineStr">
        <is>
          <t>Pig Iron Prices – Daily Market Rates &amp; Trends | BigMint</t>
        </is>
      </c>
      <c r="C2" s="3" t="inlineStr">
        <is>
          <t>Pig Iron, DAP-Raipur, India | BigMint</t>
        </is>
      </c>
      <c r="D2" s="1" t="n"/>
      <c r="E2" s="31" t="n">
        <v>40032.69</v>
      </c>
      <c r="F2" s="31" t="n">
        <v>42674.07</v>
      </c>
      <c r="G2" s="31" t="n">
        <v>39478</v>
      </c>
      <c r="H2" s="31" t="n">
        <v>38025.93</v>
      </c>
      <c r="I2" s="31" t="n">
        <v>36812</v>
      </c>
      <c r="J2" s="31" t="n">
        <v>36724</v>
      </c>
      <c r="K2" s="31" t="n">
        <v>38275</v>
      </c>
      <c r="L2" s="31" t="n">
        <v>34677.08</v>
      </c>
      <c r="M2" s="31" t="n">
        <v>32498</v>
      </c>
      <c r="N2" s="31" t="n">
        <v>32537.04</v>
      </c>
      <c r="O2" s="31" t="n">
        <v>33358.33</v>
      </c>
      <c r="P2" s="31" t="n">
        <v>35887.5</v>
      </c>
      <c r="Q2" s="4" t="n">
        <v>35834.6</v>
      </c>
      <c r="R2" s="4" t="n">
        <v>33538</v>
      </c>
      <c r="S2" s="4" t="n">
        <v>32810</v>
      </c>
      <c r="T2" s="4" t="n">
        <v>32987</v>
      </c>
      <c r="U2" s="4" t="n">
        <v>33672</v>
      </c>
      <c r="V2" s="5" t="n">
        <v>33092</v>
      </c>
      <c r="W2" s="5" t="n">
        <v>32255</v>
      </c>
      <c r="X2" s="5" t="n">
        <v>32388</v>
      </c>
      <c r="Y2" s="5" t="n">
        <v>33023</v>
      </c>
      <c r="Z2" s="5" t="n">
        <v>37477</v>
      </c>
      <c r="AA2" s="4" t="n">
        <v>38167</v>
      </c>
      <c r="AB2" s="4" t="n">
        <v>37790</v>
      </c>
      <c r="AC2" s="4" t="n">
        <v>39498</v>
      </c>
      <c r="AD2" s="4" t="n">
        <v>39017</v>
      </c>
      <c r="AE2" s="4" t="n">
        <v>37429</v>
      </c>
      <c r="AF2" s="4" t="n">
        <v>37905.56</v>
      </c>
      <c r="AG2" s="4" t="n">
        <v>38600</v>
      </c>
      <c r="AH2" s="6" t="inlineStr">
        <is>
          <t>Pig Iron, DAP-Raipur, India | BigMint</t>
        </is>
      </c>
      <c r="AI2" s="7" t="inlineStr">
        <is>
          <t>https://www.bigmint.co/prices/detail/pig-iron-dap-raipur-india-1102-f-INR</t>
        </is>
      </c>
      <c r="AJ2" s="7" t="inlineStr">
        <is>
          <t>Pig Iron Prices – Daily Market Rates &amp; Trends | BigMint</t>
        </is>
      </c>
      <c r="AK2" s="7" t="inlineStr">
        <is>
          <t>Pig Iron, DAP-Raipur, India | BigMint</t>
        </is>
      </c>
    </row>
    <row r="3">
      <c r="A3" s="2" t="inlineStr">
        <is>
          <t>Pig Iron(ludhiana-SG)</t>
        </is>
      </c>
      <c r="B3" s="3" t="inlineStr">
        <is>
          <t>Pig Iron Prices – Daily Market Rates &amp; Trends | BigMint</t>
        </is>
      </c>
      <c r="C3" s="3" t="inlineStr">
        <is>
          <t>Pig Iron, DAP-Ludhiana, India | BigMint</t>
        </is>
      </c>
      <c r="D3" s="1" t="n"/>
      <c r="E3" s="31" t="n">
        <v>41280.77</v>
      </c>
      <c r="F3" s="31" t="n">
        <v>43303.7</v>
      </c>
      <c r="G3" s="31" t="n">
        <v>41458.33</v>
      </c>
      <c r="H3" s="31" t="n">
        <v>40527.78</v>
      </c>
      <c r="I3" s="31" t="n">
        <v>39998</v>
      </c>
      <c r="J3" s="31" t="n">
        <v>38638</v>
      </c>
      <c r="K3" s="31" t="n">
        <v>39679.17</v>
      </c>
      <c r="L3" s="31" t="n">
        <v>38268.75</v>
      </c>
      <c r="M3" s="31" t="n">
        <v>36324</v>
      </c>
      <c r="N3" s="31" t="n">
        <v>35575.93</v>
      </c>
      <c r="O3" s="31" t="n">
        <v>36418.75</v>
      </c>
      <c r="P3" s="31" t="n">
        <v>38689.58</v>
      </c>
      <c r="Q3" s="4" t="n">
        <v>38457</v>
      </c>
      <c r="R3" s="4" t="n">
        <v>36253</v>
      </c>
      <c r="S3" s="4" t="n">
        <v>35856</v>
      </c>
      <c r="T3" s="4" t="n">
        <v>35422</v>
      </c>
      <c r="U3" s="4" t="n">
        <v>35737</v>
      </c>
      <c r="V3" s="5" t="n">
        <v>35221</v>
      </c>
      <c r="W3" s="5" t="n">
        <v>34707</v>
      </c>
      <c r="X3" s="5" t="n">
        <v>35044</v>
      </c>
      <c r="Y3" s="5" t="n">
        <v>35413</v>
      </c>
      <c r="Z3" s="5" t="n">
        <v>39548</v>
      </c>
      <c r="AA3" s="4" t="n">
        <v>40211</v>
      </c>
      <c r="AB3" s="4" t="n">
        <v>40060</v>
      </c>
      <c r="AC3" s="4" t="n">
        <v>42584</v>
      </c>
      <c r="AD3" s="4" t="n">
        <v>42265</v>
      </c>
      <c r="AE3" s="4" t="n">
        <v>41696</v>
      </c>
      <c r="AF3" s="4" t="n">
        <v>40744.44</v>
      </c>
      <c r="AG3" s="4" t="n">
        <v>40400</v>
      </c>
      <c r="AH3" s="8" t="inlineStr">
        <is>
          <t>Pig Iron, DAP-Ludhiana, India | BigMint</t>
        </is>
      </c>
      <c r="AI3" s="7" t="inlineStr">
        <is>
          <t>https://www.bigmint.co/prices/detail/pig-iron-dap-ludhiana-india-1100-f-INR</t>
        </is>
      </c>
      <c r="AJ3" s="7" t="inlineStr">
        <is>
          <t>Pig Iron Prices – Daily Market Rates &amp; Trends | BigMint</t>
        </is>
      </c>
      <c r="AK3" s="7" t="inlineStr">
        <is>
          <t>Pig Iron, DAP-Ludhiana, India | BigMint</t>
        </is>
      </c>
    </row>
    <row r="4">
      <c r="A4" s="2" t="inlineStr">
        <is>
          <t>Pig Iron(Durgapur SG)</t>
        </is>
      </c>
      <c r="B4" s="3" t="inlineStr">
        <is>
          <t>Pig Iron Prices – Daily Market Rates &amp; Trends | BigMint</t>
        </is>
      </c>
      <c r="C4" s="3" t="inlineStr">
        <is>
          <t>Pig Iron, Exw-Durgapur, India | BigMint</t>
        </is>
      </c>
      <c r="D4" s="1" t="n"/>
      <c r="E4" s="31" t="n">
        <v>40659.62</v>
      </c>
      <c r="F4" s="31" t="n">
        <v>42677.78</v>
      </c>
      <c r="G4" s="31" t="n">
        <v>38818</v>
      </c>
      <c r="H4" s="31" t="n">
        <v>37714.81</v>
      </c>
      <c r="I4" s="31" t="n">
        <v>36776</v>
      </c>
      <c r="J4" s="31" t="n">
        <v>36560</v>
      </c>
      <c r="K4" s="31" t="n">
        <v>39334.09</v>
      </c>
      <c r="L4" s="31" t="n">
        <v>35364</v>
      </c>
      <c r="M4" s="31" t="n">
        <v>33280</v>
      </c>
      <c r="N4" s="31" t="n">
        <v>33411.11</v>
      </c>
      <c r="O4" s="31" t="n">
        <v>33002.08</v>
      </c>
      <c r="P4" s="31" t="n">
        <v>35764.58</v>
      </c>
      <c r="Q4" s="4" t="n">
        <v>35128</v>
      </c>
      <c r="R4" s="4" t="n">
        <v>32914</v>
      </c>
      <c r="S4" s="4" t="n">
        <v>32378</v>
      </c>
      <c r="T4" s="4" t="n">
        <v>32461</v>
      </c>
      <c r="U4" s="4" t="n">
        <v>32583</v>
      </c>
      <c r="V4" s="5" t="n">
        <v>32494</v>
      </c>
      <c r="W4" s="5" t="n">
        <v>31645</v>
      </c>
      <c r="X4" s="5" t="n">
        <v>32204</v>
      </c>
      <c r="Y4" s="5" t="n">
        <v>32710</v>
      </c>
      <c r="Z4" s="5" t="n">
        <v>37254</v>
      </c>
      <c r="AA4" s="4" t="n">
        <v>38444</v>
      </c>
      <c r="AB4" s="4" t="n">
        <v>37923</v>
      </c>
      <c r="AC4" s="4" t="n">
        <v>40240</v>
      </c>
      <c r="AD4" s="4" t="n">
        <v>38348</v>
      </c>
      <c r="AE4" s="4" t="n">
        <v>37862</v>
      </c>
      <c r="AF4" s="4" t="n">
        <v>37702.94</v>
      </c>
      <c r="AG4" s="4" t="n">
        <v>37700</v>
      </c>
      <c r="AH4" s="6" t="inlineStr">
        <is>
          <t>Pig Iron, Exw-Durgapur, India | BigMint</t>
        </is>
      </c>
      <c r="AI4" s="7" t="inlineStr">
        <is>
          <t>https://www.bigmint.co/prices/detail/pig-iron-exw-durgapur-india-1096-f-INR</t>
        </is>
      </c>
      <c r="AJ4" s="7" t="inlineStr">
        <is>
          <t>Pig Iron Prices – Daily Market Rates &amp; Trends | BigMint</t>
        </is>
      </c>
      <c r="AK4" s="7" t="inlineStr">
        <is>
          <t>Pig Iron, Exw-Durgapur, India | BigMint</t>
        </is>
      </c>
    </row>
    <row r="5">
      <c r="A5" s="2" t="inlineStr">
        <is>
          <t>Pig Iron(Hyderabad SG)</t>
        </is>
      </c>
      <c r="B5" s="3" t="inlineStr">
        <is>
          <t>Pig Iron Prices – Daily Market Rates &amp; Trends | BigMint</t>
        </is>
      </c>
      <c r="C5" s="3" t="inlineStr">
        <is>
          <t>Pig Iron, DAP-Hyderabad, India | BigMint</t>
        </is>
      </c>
      <c r="D5" s="1" t="n"/>
      <c r="E5" s="1" t="n">
        <v>39188.46</v>
      </c>
      <c r="F5" s="1" t="n">
        <v>42151.85</v>
      </c>
      <c r="G5" s="1" t="n">
        <v>39488</v>
      </c>
      <c r="H5" s="1" t="n">
        <v>38329.63</v>
      </c>
      <c r="I5" s="1" t="n">
        <v>38140</v>
      </c>
      <c r="J5" s="1" t="n">
        <v>37552</v>
      </c>
      <c r="K5" s="1" t="n">
        <v>38362.5</v>
      </c>
      <c r="L5" s="1" t="n">
        <v>36580</v>
      </c>
      <c r="M5" s="1" t="n">
        <v>33742</v>
      </c>
      <c r="N5" s="1" t="n">
        <v>33300</v>
      </c>
      <c r="O5" s="1" t="n">
        <v>33812.5</v>
      </c>
      <c r="P5" s="1" t="n">
        <v>35570.83</v>
      </c>
      <c r="Q5" s="4" t="n">
        <v>36676</v>
      </c>
      <c r="R5" s="4" t="n">
        <v>35337</v>
      </c>
      <c r="S5" s="4" t="n">
        <v>33864</v>
      </c>
      <c r="T5" s="4" t="n">
        <v>33280</v>
      </c>
      <c r="U5" s="4" t="n">
        <v>32883</v>
      </c>
      <c r="V5" s="5" t="n">
        <v>32746</v>
      </c>
      <c r="W5" s="5" t="n">
        <v>32273</v>
      </c>
      <c r="X5" s="5" t="n">
        <v>32908</v>
      </c>
      <c r="Y5" s="5" t="n">
        <v>33008</v>
      </c>
      <c r="Z5" s="5" t="n">
        <v>37460</v>
      </c>
      <c r="AA5" s="4" t="n">
        <v>37811</v>
      </c>
      <c r="AB5" s="4" t="n">
        <v>37571</v>
      </c>
      <c r="AC5" s="4" t="n">
        <v>39124</v>
      </c>
      <c r="AD5" s="4" t="n">
        <v>38311</v>
      </c>
      <c r="AE5" s="4" t="n">
        <v>37127</v>
      </c>
      <c r="AF5" s="4" t="n">
        <v>37194.44</v>
      </c>
      <c r="AG5" s="4" t="n">
        <v>37800</v>
      </c>
      <c r="AH5" s="8" t="inlineStr">
        <is>
          <t>Pig Iron, DAP-Hyderabad, India | BigMint</t>
        </is>
      </c>
      <c r="AI5" s="7" t="inlineStr">
        <is>
          <t>https://www.bigmint.co/prices/detail/pig-iron-dap-hyderabad-india-1098-f-INR</t>
        </is>
      </c>
      <c r="AJ5" s="7" t="inlineStr">
        <is>
          <t>Pig Iron Prices – Daily Market Rates &amp; Trends | BigMint</t>
        </is>
      </c>
      <c r="AK5" s="7" t="inlineStr">
        <is>
          <t>Pig Iron, DAP-Hyderabad, India | BigMint</t>
        </is>
      </c>
    </row>
    <row r="6">
      <c r="A6" s="2" t="inlineStr">
        <is>
          <t>Pig Iron(ludhiana-FG)</t>
        </is>
      </c>
      <c r="B6" s="3" t="inlineStr">
        <is>
          <t>Pig Iron Prices – Daily Market Rates &amp; Trends | BigMint</t>
        </is>
      </c>
      <c r="C6" s="3" t="inlineStr">
        <is>
          <t>Pig Iron, DAP-Ludhiana, India | BigMint</t>
        </is>
      </c>
      <c r="D6" s="1" t="n"/>
      <c r="E6" s="1" t="n">
        <v>44919.23</v>
      </c>
      <c r="F6" s="1" t="n">
        <v>46353.85</v>
      </c>
      <c r="G6" s="1" t="n">
        <v>45012.5</v>
      </c>
      <c r="H6" s="1" t="n">
        <v>43366.67</v>
      </c>
      <c r="I6" s="1" t="n">
        <v>43736</v>
      </c>
      <c r="J6" s="1" t="n">
        <v>42672</v>
      </c>
      <c r="K6" s="1" t="n">
        <v>42762.5</v>
      </c>
      <c r="L6" s="1" t="n">
        <v>41108.33</v>
      </c>
      <c r="M6" s="1" t="n">
        <v>40016</v>
      </c>
      <c r="N6" s="1" t="n">
        <v>38700</v>
      </c>
      <c r="O6" s="1" t="n">
        <v>39004.17</v>
      </c>
      <c r="P6" s="1" t="n">
        <v>41917.39</v>
      </c>
      <c r="Q6" s="4" t="n">
        <v>42142</v>
      </c>
      <c r="R6" s="4" t="n">
        <v>39618</v>
      </c>
      <c r="S6" s="4" t="n">
        <v>38356</v>
      </c>
      <c r="T6" s="4" t="n">
        <v>38228</v>
      </c>
      <c r="U6" s="4" t="n">
        <v>38800</v>
      </c>
      <c r="V6" s="5" t="n">
        <v>38177</v>
      </c>
      <c r="W6" s="5" t="n">
        <v>37286</v>
      </c>
      <c r="X6" s="5" t="n">
        <v>38096</v>
      </c>
      <c r="Y6" s="5" t="n">
        <v>38096</v>
      </c>
      <c r="Z6" s="5" t="n">
        <v>41727</v>
      </c>
      <c r="AA6" s="4" t="n">
        <v>42628</v>
      </c>
      <c r="AB6" s="4" t="n">
        <v>43192</v>
      </c>
      <c r="AC6" s="4" t="n">
        <v>45324</v>
      </c>
      <c r="AD6" s="4" t="n">
        <v>44458</v>
      </c>
      <c r="AE6" s="4" t="n">
        <v>45644</v>
      </c>
      <c r="AF6" s="4" t="n">
        <v>45564.71</v>
      </c>
      <c r="AG6" s="4" t="n">
        <v>45400</v>
      </c>
      <c r="AH6" s="9" t="inlineStr">
        <is>
          <t>Pig Iron, DAP-Ludhiana, India | BigMint</t>
        </is>
      </c>
      <c r="AI6" s="7" t="inlineStr">
        <is>
          <t>https://www.bigmint.co/prices/detail/pig-iron-dap-ludhiana-india-1108-f-INR</t>
        </is>
      </c>
      <c r="AJ6" s="7" t="inlineStr">
        <is>
          <t>Pig Iron Prices – Daily Market Rates &amp; Trends | BigMint</t>
        </is>
      </c>
      <c r="AK6" s="7" t="inlineStr">
        <is>
          <t>Pig Iron, DAP-Ludhiana, India | BigMint</t>
        </is>
      </c>
    </row>
    <row r="7">
      <c r="A7" s="2" t="inlineStr">
        <is>
          <t>Pig Iron(Durgapur FG)</t>
        </is>
      </c>
      <c r="B7" s="3" t="inlineStr">
        <is>
          <t>Pig Iron Prices – Daily Market Rates &amp; Trends | BigMint</t>
        </is>
      </c>
      <c r="C7" s="3" t="inlineStr">
        <is>
          <t>Pig Iron, Exw-Durgapur, India | BigMint</t>
        </is>
      </c>
      <c r="D7" s="1" t="n"/>
      <c r="E7" s="1" t="n">
        <v>43961.54</v>
      </c>
      <c r="F7" s="1" t="n">
        <v>46384.62</v>
      </c>
      <c r="G7" s="1" t="n">
        <v>45060</v>
      </c>
      <c r="H7" s="1" t="n">
        <v>43611.11</v>
      </c>
      <c r="I7" s="1" t="n">
        <v>42300</v>
      </c>
      <c r="J7" s="1" t="n">
        <v>41500</v>
      </c>
      <c r="K7" s="1" t="n">
        <v>42409.09</v>
      </c>
      <c r="L7" s="32" t="n">
        <v>41100</v>
      </c>
      <c r="M7" s="1" t="n">
        <v>38740</v>
      </c>
      <c r="N7" s="1" t="n">
        <v>37500</v>
      </c>
      <c r="O7" s="1" t="n">
        <v>37500</v>
      </c>
      <c r="P7" s="1" t="n">
        <v>38978.26</v>
      </c>
      <c r="Q7" s="4" t="n">
        <v>40000</v>
      </c>
      <c r="R7" s="4" t="n">
        <v>29251</v>
      </c>
      <c r="S7" s="4" t="n">
        <v>37250</v>
      </c>
      <c r="T7" s="4" t="n">
        <v>37628</v>
      </c>
      <c r="U7" s="4" t="n">
        <v>38000</v>
      </c>
      <c r="V7" s="5" t="n">
        <v>37087</v>
      </c>
      <c r="W7" s="5" t="n">
        <v>37000</v>
      </c>
      <c r="X7" s="5" t="inlineStr">
        <is>
          <t xml:space="preserve"> 37,000</t>
        </is>
      </c>
      <c r="Y7" s="5" t="n">
        <v>37000</v>
      </c>
      <c r="Z7" s="5" t="n">
        <v>40000</v>
      </c>
      <c r="AA7" s="4" t="n">
        <v>41500</v>
      </c>
      <c r="AB7" s="4" t="n">
        <v>41500</v>
      </c>
      <c r="AC7" s="4" t="n">
        <v>44580</v>
      </c>
      <c r="AD7" s="4" t="n">
        <v>44308</v>
      </c>
      <c r="AE7" s="4" t="n">
        <v>43360</v>
      </c>
      <c r="AF7" s="4" t="n">
        <v>43000</v>
      </c>
      <c r="AG7" s="4" t="n">
        <v>43000</v>
      </c>
      <c r="AH7" s="30" t="inlineStr">
        <is>
          <t>Pig Iron, Exw-Durgapur, India | BigMint</t>
        </is>
      </c>
      <c r="AI7" s="7" t="inlineStr">
        <is>
          <t>https://www.bigmint.co/prices/detail/pig-iron-exw-durgapur-india-1105-f-INR</t>
        </is>
      </c>
      <c r="AJ7" s="7" t="inlineStr">
        <is>
          <t>Pig Iron Prices – Daily Market Rates &amp; Trends | BigMint</t>
        </is>
      </c>
      <c r="AK7" s="7" t="inlineStr">
        <is>
          <t>Pig Iron, Exw-Durgapur, India | BigMint</t>
        </is>
      </c>
    </row>
    <row r="8">
      <c r="A8" s="2" t="inlineStr">
        <is>
          <t>End Cutting(Raipur)</t>
        </is>
      </c>
      <c r="B8" s="3" t="inlineStr">
        <is>
          <t>Melting Scrap Prices – Live Market Updates | BigMint</t>
        </is>
      </c>
      <c r="C8" s="3" t="inlineStr">
        <is>
          <t>Melting Scrap, DAP-Raipur, India | BigMint</t>
        </is>
      </c>
      <c r="D8" s="1" t="n"/>
      <c r="E8" s="1" t="n">
        <v>38421.15</v>
      </c>
      <c r="F8" s="1" t="n">
        <v>40285.19</v>
      </c>
      <c r="G8" s="1" t="n">
        <v>38964</v>
      </c>
      <c r="H8" s="1" t="n">
        <v>37259.26</v>
      </c>
      <c r="I8" s="1" t="n">
        <v>36046</v>
      </c>
      <c r="J8" s="1" t="n">
        <v>35558</v>
      </c>
      <c r="K8" s="1" t="n">
        <v>37041.67</v>
      </c>
      <c r="L8" s="1" t="n">
        <v>35408.33</v>
      </c>
      <c r="M8" s="1" t="n">
        <v>34130</v>
      </c>
      <c r="N8" s="1" t="n">
        <v>34490.74</v>
      </c>
      <c r="O8" s="1" t="n">
        <v>34550</v>
      </c>
      <c r="P8" s="1" t="n">
        <v>35764.58</v>
      </c>
      <c r="Q8" s="4" t="n">
        <v>35778</v>
      </c>
      <c r="R8" s="4" t="n">
        <v>34183</v>
      </c>
      <c r="S8" s="4" t="n">
        <v>33718</v>
      </c>
      <c r="T8" s="4" t="n">
        <v>33058</v>
      </c>
      <c r="U8" s="4" t="n">
        <v>33691</v>
      </c>
      <c r="V8" s="5" t="n">
        <v>33958</v>
      </c>
      <c r="W8" s="5" t="n">
        <v>32732</v>
      </c>
      <c r="X8" s="5" t="n">
        <v>33016</v>
      </c>
      <c r="Y8" s="5" t="n">
        <v>33498</v>
      </c>
      <c r="Z8" s="5" t="n">
        <v>35733</v>
      </c>
      <c r="AA8" s="4" t="n">
        <v>36389</v>
      </c>
      <c r="AB8" s="4" t="n">
        <v>36997</v>
      </c>
      <c r="AC8" s="4" t="n">
        <v>37844</v>
      </c>
      <c r="AD8" s="4" t="n">
        <v>37096</v>
      </c>
      <c r="AE8" s="4" t="n">
        <v>36612</v>
      </c>
      <c r="AF8" s="4" t="n">
        <v>36322.22</v>
      </c>
      <c r="AG8" s="4" t="n">
        <v>36300</v>
      </c>
      <c r="AH8" s="9" t="inlineStr">
        <is>
          <t>Melting Scrap, DAP-Raipur, India | BigMint</t>
        </is>
      </c>
      <c r="AI8" s="7" t="inlineStr">
        <is>
          <t>https://www.bigmint.co/prices/detail/melting-scrap-dap-raipur-india-1040-f-INR</t>
        </is>
      </c>
      <c r="AJ8" s="7" t="inlineStr">
        <is>
          <t>Melting Scrap Prices – Live Market Updates | BigMint</t>
        </is>
      </c>
      <c r="AK8" s="7" t="inlineStr">
        <is>
          <t>Melting Scrap, DAP-Raipur, India | BigMint</t>
        </is>
      </c>
    </row>
    <row r="9">
      <c r="A9" s="2" t="inlineStr">
        <is>
          <t>HMS 80:20(Raipur)</t>
        </is>
      </c>
      <c r="B9" s="3" t="inlineStr">
        <is>
          <t>Melting Scrap Prices – Live Market Updates | BigMint</t>
        </is>
      </c>
      <c r="C9" s="3" t="inlineStr">
        <is>
          <t>Melting Scrap, DAP-Raipur, India | BigMint</t>
        </is>
      </c>
      <c r="D9" s="1" t="n"/>
      <c r="E9" s="1" t="n">
        <v>36413.46</v>
      </c>
      <c r="F9" s="1" t="n">
        <v>38329.63</v>
      </c>
      <c r="G9" s="1" t="n">
        <v>36952</v>
      </c>
      <c r="H9" s="1" t="n">
        <v>35264.81</v>
      </c>
      <c r="I9" s="1" t="n">
        <v>34046</v>
      </c>
      <c r="J9" s="1" t="n">
        <v>33558</v>
      </c>
      <c r="K9" s="1" t="n">
        <v>35041.67</v>
      </c>
      <c r="L9" s="1" t="n">
        <v>33408.33</v>
      </c>
      <c r="M9" s="1" t="n">
        <v>32130</v>
      </c>
      <c r="N9" s="1" t="n">
        <v>32490.74</v>
      </c>
      <c r="O9" s="1" t="n">
        <v>32550</v>
      </c>
      <c r="P9" s="1" t="n">
        <v>33766.67</v>
      </c>
      <c r="Q9" s="4" t="n">
        <v>33778</v>
      </c>
      <c r="R9" s="4" t="n">
        <v>32181</v>
      </c>
      <c r="S9" s="4" t="n">
        <v>31718</v>
      </c>
      <c r="T9" s="4" t="n">
        <v>31054</v>
      </c>
      <c r="U9" s="4" t="n">
        <v>31691</v>
      </c>
      <c r="V9" s="5" t="n">
        <v>31942</v>
      </c>
      <c r="W9" s="5" t="n">
        <v>30714</v>
      </c>
      <c r="X9" s="5" t="n">
        <v>30996</v>
      </c>
      <c r="Y9" s="5" t="n">
        <v>31465</v>
      </c>
      <c r="Z9" s="5" t="n">
        <v>33678</v>
      </c>
      <c r="AA9" s="4" t="n">
        <v>34347</v>
      </c>
      <c r="AB9" s="4" t="n">
        <v>34888</v>
      </c>
      <c r="AC9" s="4" t="n">
        <v>35796</v>
      </c>
      <c r="AD9" s="4" t="n">
        <v>35063</v>
      </c>
      <c r="AE9" s="4" t="n">
        <v>34450</v>
      </c>
      <c r="AF9" s="4" t="n">
        <v>34144.44</v>
      </c>
      <c r="AG9" s="4" t="n">
        <v>34000</v>
      </c>
      <c r="AH9" s="9" t="inlineStr">
        <is>
          <t>Melting Scrap, DAP-Raipur, India | BigMint</t>
        </is>
      </c>
      <c r="AI9" s="7" t="inlineStr">
        <is>
          <t>https://www.bigmint.co/prices/detail/melting-scrap-dap-raipur-india-1041-f-INR</t>
        </is>
      </c>
      <c r="AJ9" s="7" t="inlineStr">
        <is>
          <t>Melting Scrap Prices – Live Market Updates | BigMint</t>
        </is>
      </c>
      <c r="AK9" s="7" t="inlineStr">
        <is>
          <t>Melting Scrap, DAP-Raipur, India | BigMint</t>
        </is>
      </c>
    </row>
    <row r="10">
      <c r="A10" s="2" t="inlineStr">
        <is>
          <t>P-DRI (RAIPUR)</t>
        </is>
      </c>
      <c r="B10" s="3" t="inlineStr">
        <is>
          <t>Sponge Iron Prices – Daily Market Rates | BigMint</t>
        </is>
      </c>
      <c r="C10" s="3" t="inlineStr">
        <is>
          <t>Sponge Iron, PDRI, Exw-Raipur, India | BigMint</t>
        </is>
      </c>
      <c r="D10" s="1" t="n"/>
      <c r="E10" s="1" t="n">
        <v>29067.31</v>
      </c>
      <c r="F10" s="1" t="n">
        <v>29253.7</v>
      </c>
      <c r="G10" s="1" t="n">
        <v>26708</v>
      </c>
      <c r="H10" s="1" t="n">
        <v>25572.22</v>
      </c>
      <c r="I10" s="1" t="n">
        <v>24666</v>
      </c>
      <c r="J10" s="1" t="n">
        <v>25510</v>
      </c>
      <c r="K10" s="1" t="n">
        <v>27500</v>
      </c>
      <c r="L10" s="1" t="n">
        <v>25552.08</v>
      </c>
      <c r="M10" s="1" t="n">
        <v>24650</v>
      </c>
      <c r="N10" s="1" t="n">
        <v>24477.78</v>
      </c>
      <c r="O10" s="1" t="n">
        <v>24812.5</v>
      </c>
      <c r="P10" s="1" t="n">
        <v>25587.5</v>
      </c>
      <c r="Q10" s="4" t="n">
        <v>25759</v>
      </c>
      <c r="R10" s="4" t="n">
        <v>24151</v>
      </c>
      <c r="S10" s="4" t="n">
        <v>22862</v>
      </c>
      <c r="T10" s="4" t="n">
        <v>23664</v>
      </c>
      <c r="U10" s="4" t="n">
        <v>24093</v>
      </c>
      <c r="V10" s="5" t="n">
        <v>24082</v>
      </c>
      <c r="W10" s="5" t="n">
        <v>22905</v>
      </c>
      <c r="X10" s="5" t="n">
        <v>23412</v>
      </c>
      <c r="Y10" s="5" t="n">
        <v>23261</v>
      </c>
      <c r="Z10" s="5" t="n">
        <v>24683</v>
      </c>
      <c r="AA10" s="4" t="n">
        <v>27081</v>
      </c>
      <c r="AB10" s="4" t="n">
        <v>26725</v>
      </c>
      <c r="AC10" s="4" t="n">
        <v>26420</v>
      </c>
      <c r="AD10" s="4" t="n">
        <v>25358</v>
      </c>
      <c r="AE10" s="4" t="n">
        <v>24183</v>
      </c>
      <c r="AF10" s="4" t="n">
        <v>23422.22</v>
      </c>
      <c r="AG10" s="4" t="n">
        <v>23850</v>
      </c>
      <c r="AH10" s="9" t="inlineStr">
        <is>
          <t>Sponge Iron, PDRI, Exw-Raipur, India | BigMint</t>
        </is>
      </c>
      <c r="AI10" s="7" t="inlineStr">
        <is>
          <t>https://www.bigmint.co/prices/detail/sponge-iron-pdri-exw-raipur-india-1091-f-INR</t>
        </is>
      </c>
      <c r="AJ10" s="7" t="inlineStr">
        <is>
          <t>Sponge Iron Prices – Daily Market Rates | BigMint</t>
        </is>
      </c>
      <c r="AK10" s="7" t="inlineStr">
        <is>
          <t>Sponge Iron, PDRI, Exw-Raipur, India | BigMint</t>
        </is>
      </c>
    </row>
    <row r="11">
      <c r="A11" s="2" t="inlineStr">
        <is>
          <t>TMT(Mumbai) IF FE500</t>
        </is>
      </c>
      <c r="B11" s="3" t="inlineStr">
        <is>
          <t>Rebar Prices – Daily Steel TMT &amp; Rebar Market Rates | BigMint</t>
        </is>
      </c>
      <c r="C11" s="3" t="inlineStr">
        <is>
          <t>Rebar, Exw-Mumbai, India | BigMint</t>
        </is>
      </c>
      <c r="D11" s="1" t="n"/>
      <c r="E11" s="1" t="n">
        <v>50542.31</v>
      </c>
      <c r="F11" s="1" t="n">
        <v>52922.22</v>
      </c>
      <c r="G11" s="1" t="n">
        <v>50512</v>
      </c>
      <c r="H11" s="1" t="n">
        <v>46714.81</v>
      </c>
      <c r="I11" s="1" t="n">
        <v>45268</v>
      </c>
      <c r="J11" s="1" t="n">
        <v>45736</v>
      </c>
      <c r="K11" s="1" t="n">
        <v>48254.17</v>
      </c>
      <c r="L11" s="1" t="n">
        <v>47479.17</v>
      </c>
      <c r="M11" s="1" t="n">
        <v>46896</v>
      </c>
      <c r="N11" s="1" t="n">
        <v>47074.07</v>
      </c>
      <c r="O11" s="1" t="n">
        <v>47945.83</v>
      </c>
      <c r="P11" s="1" t="n">
        <v>49358.33</v>
      </c>
      <c r="Q11" s="4" t="n">
        <v>49403</v>
      </c>
      <c r="R11" s="4" t="n">
        <v>47796</v>
      </c>
      <c r="S11" s="4" t="n">
        <v>44820</v>
      </c>
      <c r="T11" s="4" t="n">
        <v>43484</v>
      </c>
      <c r="U11" s="4" t="n">
        <v>45418</v>
      </c>
      <c r="V11" s="5" t="n">
        <v>44138</v>
      </c>
      <c r="W11" s="5" t="n">
        <v>42232</v>
      </c>
      <c r="X11" s="5" t="n">
        <v>42708</v>
      </c>
      <c r="Y11" s="5" t="n">
        <v>44965</v>
      </c>
      <c r="Z11" s="5" t="n">
        <v>49444</v>
      </c>
      <c r="AA11" s="4" t="n">
        <v>49906</v>
      </c>
      <c r="AB11" s="4" t="n">
        <v>51026</v>
      </c>
      <c r="AC11" s="4" t="n">
        <v>52156</v>
      </c>
      <c r="AD11" s="4" t="n">
        <v>47680</v>
      </c>
      <c r="AE11" s="4" t="n">
        <v>45581</v>
      </c>
      <c r="AF11" s="4" t="n">
        <v>43427.78</v>
      </c>
      <c r="AG11" s="4" t="n">
        <v>44200</v>
      </c>
      <c r="AH11" s="9" t="inlineStr">
        <is>
          <t>Rebar, Exw-Mumbai, India | BigMint</t>
        </is>
      </c>
      <c r="AI11" s="7" t="inlineStr">
        <is>
          <t>https://www.bigmint.co/prices/detail/rebar-exw-mumbai-india-1122-f-INR</t>
        </is>
      </c>
      <c r="AJ11" s="7" t="inlineStr">
        <is>
          <t>Rebar Prices – Daily Steel TMT &amp; Rebar Market Rates | BigMint</t>
        </is>
      </c>
      <c r="AK11" s="7" t="inlineStr">
        <is>
          <t>Rebar, Exw-Mumbai, India | BigMint</t>
        </is>
      </c>
    </row>
    <row r="12">
      <c r="A12" s="2" t="inlineStr">
        <is>
          <t>TMT(Raipur) IF FE500</t>
        </is>
      </c>
      <c r="B12" s="3" t="inlineStr">
        <is>
          <t>Rebar Prices – Daily Steel TMT &amp; Rebar Market Rates | BigMint</t>
        </is>
      </c>
      <c r="C12" s="3" t="inlineStr">
        <is>
          <t>Rebar, Exw-Raipur, India | BigMint</t>
        </is>
      </c>
      <c r="D12" s="1" t="n"/>
      <c r="E12" s="1" t="n">
        <v>46315.38</v>
      </c>
      <c r="F12" s="1" t="n">
        <v>47725.93</v>
      </c>
      <c r="G12" s="1" t="n">
        <v>46328</v>
      </c>
      <c r="H12" s="1" t="n">
        <v>42385.19</v>
      </c>
      <c r="I12" s="1" t="n">
        <v>41492</v>
      </c>
      <c r="J12" s="1" t="n">
        <v>41944</v>
      </c>
      <c r="K12" t="n">
        <v>44304.17</v>
      </c>
      <c r="L12" s="1" t="n">
        <v>42600</v>
      </c>
      <c r="M12" s="1" t="n">
        <v>42020</v>
      </c>
      <c r="N12" s="1" t="n">
        <v>41755.56</v>
      </c>
      <c r="O12" s="1" t="n">
        <v>42587.5</v>
      </c>
      <c r="P12" s="1" t="n">
        <v>44304.17</v>
      </c>
      <c r="Q12" s="4" t="n">
        <v>45496</v>
      </c>
      <c r="R12" s="4" t="n">
        <v>43585</v>
      </c>
      <c r="S12" s="4" t="n">
        <v>41184</v>
      </c>
      <c r="T12" s="4" t="n">
        <v>39628</v>
      </c>
      <c r="U12" s="4" t="n">
        <v>39822</v>
      </c>
      <c r="V12" s="5" t="n">
        <v>39648</v>
      </c>
      <c r="W12" s="5" t="n">
        <v>38095</v>
      </c>
      <c r="X12" s="5" t="n">
        <v>38248</v>
      </c>
      <c r="Y12" s="5" t="n">
        <v>40015</v>
      </c>
      <c r="Z12" s="5" t="n">
        <v>43804</v>
      </c>
      <c r="AA12" s="4" t="n">
        <v>44772</v>
      </c>
      <c r="AB12" s="4" t="n">
        <v>46075</v>
      </c>
      <c r="AC12" s="4" t="n">
        <v>47060</v>
      </c>
      <c r="AD12" s="4" t="n">
        <v>43565</v>
      </c>
      <c r="AE12" s="4" t="n">
        <v>41646</v>
      </c>
      <c r="AF12" s="4" t="n">
        <v>40083.33</v>
      </c>
      <c r="AG12" s="4" t="n">
        <v>39400</v>
      </c>
      <c r="AH12" s="9" t="inlineStr">
        <is>
          <t>Rebar, Exw-Raipur, India | BigMint</t>
        </is>
      </c>
      <c r="AI12" s="7" t="inlineStr">
        <is>
          <t>https://www.bigmint.co/prices/detail/rebar-exw-raipur-india-1117-f-INR</t>
        </is>
      </c>
      <c r="AJ12" s="7" t="inlineStr">
        <is>
          <t>Rebar Prices – Daily Steel TMT &amp; Rebar Market Rates | BigMint</t>
        </is>
      </c>
      <c r="AK12" s="7" t="inlineStr">
        <is>
          <t>Rebar, Exw-Raipur, India | BigMint</t>
        </is>
      </c>
    </row>
    <row r="13">
      <c r="A13" s="2" t="inlineStr">
        <is>
          <t>TMT (MUMBAI) BF FE500D</t>
        </is>
      </c>
      <c r="B13" s="3" t="inlineStr">
        <is>
          <t>Rebar Prices – Daily Steel TMT &amp; Rebar Market Rates | BigMint</t>
        </is>
      </c>
      <c r="C13" s="3" t="inlineStr">
        <is>
          <t>Rebar, Exy-Mumbai, India | BigMint</t>
        </is>
      </c>
      <c r="D13" s="1" t="n"/>
      <c r="E13" s="1" t="n">
        <v>54550</v>
      </c>
      <c r="F13" s="1" t="n">
        <v>58340</v>
      </c>
      <c r="G13" s="1" t="n">
        <v>57375</v>
      </c>
      <c r="H13" s="1" t="n">
        <v>53375</v>
      </c>
      <c r="I13" s="1" t="n">
        <v>50180</v>
      </c>
      <c r="J13" s="1" t="n">
        <v>50425</v>
      </c>
      <c r="K13" s="1" t="n">
        <v>53750</v>
      </c>
      <c r="L13" s="1" t="n">
        <v>54475</v>
      </c>
      <c r="M13" s="1" t="n">
        <v>52875</v>
      </c>
      <c r="N13" s="1" t="n">
        <v>52340</v>
      </c>
      <c r="O13" s="1" t="n">
        <v>52800</v>
      </c>
      <c r="P13" s="1" t="n">
        <v>54925</v>
      </c>
      <c r="Q13" s="4" t="n">
        <v>57050</v>
      </c>
      <c r="R13" s="4" t="n">
        <v>56280</v>
      </c>
      <c r="S13" s="4" t="n">
        <v>52525</v>
      </c>
      <c r="T13" s="4" t="n">
        <v>48750</v>
      </c>
      <c r="U13" s="4" t="n">
        <v>48080</v>
      </c>
      <c r="V13" s="5" t="n">
        <v>47075</v>
      </c>
      <c r="W13" s="5" t="n">
        <v>47000</v>
      </c>
      <c r="X13" s="5" t="n">
        <v>47000</v>
      </c>
      <c r="Y13" s="5" t="n">
        <v>47750</v>
      </c>
      <c r="Z13" s="5" t="n">
        <v>54483</v>
      </c>
      <c r="AA13" s="4" t="n">
        <v>58533</v>
      </c>
      <c r="AB13" s="4" t="n">
        <v>59756</v>
      </c>
      <c r="AC13" s="4" t="n">
        <v>60250</v>
      </c>
      <c r="AD13" s="4" t="n">
        <v>57789</v>
      </c>
      <c r="AE13" s="4" t="n">
        <v>52544</v>
      </c>
      <c r="AF13" s="4" t="n">
        <v>48683.33</v>
      </c>
      <c r="AG13" s="4" t="n">
        <v>47900</v>
      </c>
      <c r="AH13" s="9" t="inlineStr">
        <is>
          <t>Rebar, Exy-Mumbai, India | BigMint</t>
        </is>
      </c>
      <c r="AI13" s="7" t="inlineStr">
        <is>
          <t>https://www.bigmint.co/prices/detail/rebar-exy-mumbai-india-1127-f-INR</t>
        </is>
      </c>
      <c r="AJ13" s="7" t="inlineStr">
        <is>
          <t>Rebar Prices – Daily Steel TMT &amp; Rebar Market Rates | BigMint</t>
        </is>
      </c>
      <c r="AK13" s="7" t="inlineStr">
        <is>
          <t>Rebar, Exy-Mumbai, India | BigMint</t>
        </is>
      </c>
    </row>
    <row r="14">
      <c r="A14" s="2" t="inlineStr">
        <is>
          <t>M.S Billets</t>
        </is>
      </c>
      <c r="B14" s="3" t="inlineStr">
        <is>
          <t>Billet, Bloom &amp; Ingot Prices – Steel Market Rates Today | BigMint</t>
        </is>
      </c>
      <c r="C14" s="3" t="inlineStr">
        <is>
          <t>Billet Index, Exw-Raipur, India | BigMint</t>
        </is>
      </c>
      <c r="D14" s="1" t="n"/>
      <c r="E14" s="1" t="n">
        <v>42857.69</v>
      </c>
      <c r="F14" s="1" t="n">
        <v>44537.04</v>
      </c>
      <c r="G14" s="1" t="n">
        <v>42546</v>
      </c>
      <c r="H14" s="1" t="n">
        <v>39368.52</v>
      </c>
      <c r="I14" s="1" t="n">
        <v>38504</v>
      </c>
      <c r="J14" s="1" t="n">
        <v>38342</v>
      </c>
      <c r="K14" s="1" t="n">
        <v>40679.17</v>
      </c>
      <c r="L14" s="1" t="n">
        <v>39197.92</v>
      </c>
      <c r="M14" s="1" t="n">
        <v>38932</v>
      </c>
      <c r="N14" s="1" t="n">
        <v>39070.37</v>
      </c>
      <c r="O14" s="1" t="n">
        <v>39335.42</v>
      </c>
      <c r="P14" s="1" t="n">
        <v>40662.5</v>
      </c>
      <c r="Q14" s="4" t="n">
        <v>41371</v>
      </c>
      <c r="R14" s="4" t="n">
        <v>39868</v>
      </c>
      <c r="S14" s="4" t="n">
        <v>37878</v>
      </c>
      <c r="T14" s="4" t="n">
        <v>36974</v>
      </c>
      <c r="U14" s="4" t="n">
        <v>37430</v>
      </c>
      <c r="V14" s="5" t="n">
        <v>36787</v>
      </c>
      <c r="W14" s="5" t="n">
        <v>35152</v>
      </c>
      <c r="X14" s="5" t="n">
        <v>35554</v>
      </c>
      <c r="Y14" s="5" t="n">
        <v>37175</v>
      </c>
      <c r="Z14" s="5" t="n">
        <v>40504</v>
      </c>
      <c r="AA14" s="4" t="n">
        <v>41236</v>
      </c>
      <c r="AB14" s="4" t="n">
        <v>41600</v>
      </c>
      <c r="AC14" s="4" t="n">
        <v>42474</v>
      </c>
      <c r="AD14" s="4" t="n">
        <v>40148</v>
      </c>
      <c r="AE14" s="4" t="n">
        <v>38819</v>
      </c>
      <c r="AF14" s="4" t="n">
        <v>37988.89</v>
      </c>
      <c r="AG14" s="4" t="n">
        <v>37900</v>
      </c>
      <c r="AH14" s="9" t="inlineStr">
        <is>
          <t>Billet Index, Exw-Raipur, India | BigMint</t>
        </is>
      </c>
      <c r="AI14" s="7" t="inlineStr">
        <is>
          <t>https://www.bigmint.co/prices/detail/billet-index-exw-raipur-india-1067-f-INR</t>
        </is>
      </c>
      <c r="AJ14" s="7" t="inlineStr">
        <is>
          <t>Billet, Bloom &amp; Ingot Prices – Steel Market Rates Today | BigMint</t>
        </is>
      </c>
      <c r="AK14" s="7" t="inlineStr">
        <is>
          <t>Billet Index, Exw-Raipur, India | BigMint</t>
        </is>
      </c>
    </row>
    <row r="15">
      <c r="A15" s="2" t="inlineStr">
        <is>
          <t>M.S Ingots</t>
        </is>
      </c>
      <c r="B15" s="3" t="inlineStr">
        <is>
          <t>Billet, Bloom &amp; Ingot Prices – Steel Market Rates Today | BigMint</t>
        </is>
      </c>
      <c r="C15" s="3" t="inlineStr">
        <is>
          <t>Ingot, Exw-Raipur, India | BigMint</t>
        </is>
      </c>
      <c r="D15" s="1" t="n"/>
      <c r="E15" s="1" t="n">
        <v>42425</v>
      </c>
      <c r="F15" s="33" t="n">
        <v>44040.74</v>
      </c>
      <c r="G15" s="1" t="n">
        <v>42212</v>
      </c>
      <c r="H15" s="1" t="n">
        <v>38972.22</v>
      </c>
      <c r="I15" s="1" t="n">
        <v>38200</v>
      </c>
      <c r="J15" s="1" t="n">
        <v>38068</v>
      </c>
      <c r="K15" s="1" t="n">
        <v>40416.67</v>
      </c>
      <c r="L15" s="1" t="n">
        <v>38879.17</v>
      </c>
      <c r="M15" s="1" t="n">
        <v>38636</v>
      </c>
      <c r="N15" s="1" t="n">
        <v>38703.7</v>
      </c>
      <c r="O15" s="1" t="n">
        <v>38962.5</v>
      </c>
      <c r="P15" s="1" t="n">
        <v>40214.58</v>
      </c>
      <c r="Q15" s="4" t="n">
        <v>41069</v>
      </c>
      <c r="R15" s="4" t="n">
        <v>39540</v>
      </c>
      <c r="S15" s="4" t="n">
        <v>37646</v>
      </c>
      <c r="T15" s="4" t="n">
        <v>36660</v>
      </c>
      <c r="U15" s="4" t="n">
        <v>37091</v>
      </c>
      <c r="V15" s="5" t="n">
        <v>36398</v>
      </c>
      <c r="W15" s="5" t="n">
        <v>34736</v>
      </c>
      <c r="X15" s="5" t="n">
        <v>35154</v>
      </c>
      <c r="Y15" s="5" t="n">
        <v>36725</v>
      </c>
      <c r="Z15" s="5" t="n">
        <v>40050</v>
      </c>
      <c r="AA15" s="4" t="n">
        <v>40792</v>
      </c>
      <c r="AB15" s="4" t="n">
        <v>41256</v>
      </c>
      <c r="AC15" s="4" t="n">
        <v>42098</v>
      </c>
      <c r="AD15" s="4" t="n">
        <v>39773</v>
      </c>
      <c r="AE15" s="4" t="n">
        <v>38433</v>
      </c>
      <c r="AF15" s="4" t="n">
        <v>37666.67</v>
      </c>
      <c r="AG15" s="4" t="n">
        <v>37500</v>
      </c>
      <c r="AH15" s="9" t="inlineStr">
        <is>
          <t>Ingot, Exw-Raipur, India | BigMint</t>
        </is>
      </c>
      <c r="AI15" s="7" t="inlineStr">
        <is>
          <t>https://www.bigmint.co/prices/detail/ingot-exw-raipur-india-1275-f-INR</t>
        </is>
      </c>
      <c r="AJ15" s="7" t="inlineStr">
        <is>
          <t>Billet, Bloom &amp; Ingot Prices – Steel Market Rates Today | BigMint</t>
        </is>
      </c>
      <c r="AK15" s="7" t="inlineStr">
        <is>
          <t>Ingot, Exw-Raipur, India | BigMint</t>
        </is>
      </c>
    </row>
    <row r="16">
      <c r="A16" s="2" t="inlineStr">
        <is>
          <t>Pellet 6-20 mm FE 63% (Raipur)</t>
        </is>
      </c>
      <c r="B16" s="3" t="inlineStr">
        <is>
          <t>Iron Ore Pellets Prices – Live Market Updates | BigMint</t>
        </is>
      </c>
      <c r="C16" s="3" t="inlineStr">
        <is>
          <t>Pellet Index, PELLEX, DAP-Raipur, India | BigMint</t>
        </is>
      </c>
      <c r="D16" s="1" t="n"/>
      <c r="E16" s="1" t="n">
        <v>9683.33</v>
      </c>
      <c r="F16" s="1" t="n">
        <v>10533.33</v>
      </c>
      <c r="G16" s="1" t="n">
        <v>10306.25</v>
      </c>
      <c r="H16" s="1" t="n">
        <v>9183.33</v>
      </c>
      <c r="I16" s="1" t="n">
        <v>8972.219999999999</v>
      </c>
      <c r="J16" s="1" t="n">
        <v>8756.25</v>
      </c>
      <c r="K16" s="1" t="n">
        <v>10144.44</v>
      </c>
      <c r="L16" s="1" t="n">
        <v>9655.559999999999</v>
      </c>
      <c r="M16" s="1" t="n">
        <v>9183.33</v>
      </c>
      <c r="N16" s="1" t="n">
        <v>9533.33</v>
      </c>
      <c r="O16" s="33" t="n">
        <v>9818.75</v>
      </c>
      <c r="P16" s="1" t="n">
        <v>9978.57</v>
      </c>
      <c r="Q16" s="4" t="n">
        <v>10161.11</v>
      </c>
      <c r="R16" s="4" t="n">
        <v>9522</v>
      </c>
      <c r="S16" s="4" t="n">
        <v>9087</v>
      </c>
      <c r="T16" s="4" t="n">
        <v>9450</v>
      </c>
      <c r="U16" s="4" t="n">
        <v>10211</v>
      </c>
      <c r="V16" s="5" t="n">
        <v>10278</v>
      </c>
      <c r="W16" s="5" t="n">
        <v>10186</v>
      </c>
      <c r="X16" s="5" t="n">
        <v>9769</v>
      </c>
      <c r="Y16" s="5" t="n">
        <v>9500</v>
      </c>
      <c r="Z16" s="5" t="n">
        <v>9772</v>
      </c>
      <c r="AA16" s="4" t="n">
        <v>10433</v>
      </c>
      <c r="AB16" s="4" t="n">
        <v>10867</v>
      </c>
      <c r="AC16" s="4" t="n">
        <v>10606</v>
      </c>
      <c r="AD16" s="4" t="n">
        <v>9817</v>
      </c>
      <c r="AE16" s="4" t="n">
        <v>9278</v>
      </c>
      <c r="AF16" s="4" t="n">
        <v>9466.67</v>
      </c>
      <c r="AG16" s="4" t="n">
        <v>9850</v>
      </c>
      <c r="AH16" s="9" t="inlineStr">
        <is>
          <t>Pellet Index, PELLEX, DAP-Raipur, India | BigMint</t>
        </is>
      </c>
      <c r="AI16" s="7" t="inlineStr">
        <is>
          <t>https://www.bigmint.co/prices/detail/pellet-index-pellex-dap-raipur-india-1401-f-INR</t>
        </is>
      </c>
      <c r="AJ16" s="7" t="inlineStr">
        <is>
          <t>Iron Ore Pellets Prices – Live Market Updates | BigMint</t>
        </is>
      </c>
      <c r="AK16" s="7" t="inlineStr">
        <is>
          <t>Pellet Index, PELLEX, DAP-Raipur, India | BigMint</t>
        </is>
      </c>
    </row>
    <row r="17">
      <c r="A17" s="2" t="inlineStr">
        <is>
          <t>HRC ( 2.5-8mm,IS2062)Gr-E-250 (Mumbai)</t>
        </is>
      </c>
      <c r="B17" s="3" t="inlineStr">
        <is>
          <t>HRC Prices – Hot Rolled Coil Market Rates Today | BigMint</t>
        </is>
      </c>
      <c r="C17" s="3" t="inlineStr">
        <is>
          <t>HRC, Exy-Mumbai, India | BigMint</t>
        </is>
      </c>
      <c r="D17" s="1" t="n"/>
      <c r="E17" s="1" t="n">
        <v>52627.78</v>
      </c>
      <c r="F17" s="1" t="n">
        <v>54100</v>
      </c>
      <c r="G17" s="1" t="n">
        <v>53837.5</v>
      </c>
      <c r="H17" s="1" t="n">
        <v>52266.67</v>
      </c>
      <c r="I17" s="1" t="n">
        <v>50544.44</v>
      </c>
      <c r="J17" s="1" t="n">
        <v>48028.57</v>
      </c>
      <c r="K17" s="1" t="n">
        <v>48222.22</v>
      </c>
      <c r="L17" s="1" t="n">
        <v>48062.5</v>
      </c>
      <c r="M17" s="1" t="n">
        <v>46877.78</v>
      </c>
      <c r="N17" s="1" t="n">
        <v>47044.44</v>
      </c>
      <c r="O17" s="1" t="n">
        <v>48412.5</v>
      </c>
      <c r="P17" s="1" t="n">
        <v>50342.86</v>
      </c>
      <c r="Q17" s="4" t="n">
        <v>52033</v>
      </c>
      <c r="R17" s="4" t="n">
        <v>52033</v>
      </c>
      <c r="S17" s="4" t="n">
        <v>51050</v>
      </c>
      <c r="T17" s="4" t="n">
        <v>49422</v>
      </c>
      <c r="U17" s="4" t="n">
        <v>49894</v>
      </c>
      <c r="V17" s="5" t="n">
        <v>49144</v>
      </c>
      <c r="W17" s="5" t="n">
        <v>48033</v>
      </c>
      <c r="X17" s="5" t="n">
        <v>46750</v>
      </c>
      <c r="Y17" s="5" t="n">
        <v>47100</v>
      </c>
      <c r="Z17" s="5" t="n">
        <v>51989</v>
      </c>
      <c r="AA17" s="4" t="n">
        <v>53717</v>
      </c>
      <c r="AB17" s="4" t="n">
        <v>56611</v>
      </c>
      <c r="AC17" s="4" t="n">
        <v>59063</v>
      </c>
      <c r="AD17" s="4" t="n">
        <v>58456</v>
      </c>
      <c r="AE17" s="4" t="n">
        <v>58267</v>
      </c>
      <c r="AF17" s="4" t="n">
        <v>57666.67</v>
      </c>
      <c r="AG17" s="4" t="n">
        <v>57800</v>
      </c>
      <c r="AH17" s="9" t="inlineStr">
        <is>
          <t>HRC, Exy-Mumbai, India | BigMint</t>
        </is>
      </c>
      <c r="AI17" s="7" t="inlineStr">
        <is>
          <t>https://www.bigmint.co/prices/detail/hrc-exy-mumbai-india-1234-f-INR</t>
        </is>
      </c>
      <c r="AJ17" s="7" t="inlineStr">
        <is>
          <t>HRC Prices – Hot Rolled Coil Market Rates Today | BigMint</t>
        </is>
      </c>
      <c r="AK17" s="7" t="inlineStr">
        <is>
          <t>HRC, Exy-Mumbai, India | BigMint</t>
        </is>
      </c>
    </row>
    <row r="18">
      <c r="A18" s="2" t="inlineStr">
        <is>
          <t>CRC ( 0.90,IS513) CR1(Mumbai)</t>
        </is>
      </c>
      <c r="B18" s="3" t="inlineStr">
        <is>
          <t>CRC Prices – Cold Rolled Coil Market Rates Today | BigMint</t>
        </is>
      </c>
      <c r="C18" s="3" t="inlineStr">
        <is>
          <t>CRC, Exy-Mumbai, India | BigMint</t>
        </is>
      </c>
      <c r="D18" s="1" t="n"/>
      <c r="E18" s="1" t="n">
        <v>61200</v>
      </c>
      <c r="F18" s="1" t="n">
        <v>61011.11</v>
      </c>
      <c r="G18" s="1" t="n">
        <v>60337.5</v>
      </c>
      <c r="H18" s="1" t="n">
        <v>59555.56</v>
      </c>
      <c r="I18" s="1" t="n">
        <v>57688.89</v>
      </c>
      <c r="J18" s="1" t="n">
        <v>55942.86</v>
      </c>
      <c r="K18" s="1" t="n">
        <v>55733.33</v>
      </c>
      <c r="L18" s="1" t="n">
        <v>55237.5</v>
      </c>
      <c r="M18" s="1" t="n">
        <v>53577.78</v>
      </c>
      <c r="N18" s="1" t="n">
        <v>53533.33</v>
      </c>
      <c r="O18" s="1" t="n">
        <v>54537.5</v>
      </c>
      <c r="P18" s="1" t="n">
        <v>56971.43</v>
      </c>
      <c r="Q18" s="4" t="n">
        <v>58588</v>
      </c>
      <c r="R18" s="4" t="n">
        <v>58900</v>
      </c>
      <c r="S18" s="4" t="n">
        <v>58062</v>
      </c>
      <c r="T18" s="4" t="n">
        <v>56289</v>
      </c>
      <c r="U18" s="4" t="n">
        <v>56922</v>
      </c>
      <c r="V18" s="5" t="n">
        <v>56250</v>
      </c>
      <c r="W18" s="5" t="n">
        <v>55483</v>
      </c>
      <c r="X18" s="5" t="n">
        <v>54838</v>
      </c>
      <c r="Y18" s="5" t="n">
        <v>54500</v>
      </c>
      <c r="Z18" s="5" t="n">
        <v>57822</v>
      </c>
      <c r="AA18" s="4" t="n">
        <v>59633</v>
      </c>
      <c r="AB18" s="4" t="n">
        <v>63244</v>
      </c>
      <c r="AC18" s="4" t="n">
        <v>66463</v>
      </c>
      <c r="AD18" s="4" t="n">
        <v>65222</v>
      </c>
      <c r="AE18" s="4" t="n">
        <v>65200</v>
      </c>
      <c r="AF18" s="4" t="n">
        <v>65033.33</v>
      </c>
      <c r="AG18" s="4" t="n">
        <v>65000</v>
      </c>
      <c r="AH18" s="9" t="inlineStr">
        <is>
          <t>CRC, Exy-Mumbai, India | BigMint</t>
        </is>
      </c>
      <c r="AI18" s="7" t="inlineStr">
        <is>
          <t>https://www.bigmint.co/prices/detail/crc-exy-mumbai-india-1243-f-INR</t>
        </is>
      </c>
      <c r="AJ18" s="7" t="inlineStr">
        <is>
          <t>CRC Prices – Cold Rolled Coil Market Rates Today | BigMint</t>
        </is>
      </c>
      <c r="AK18" s="7" t="inlineStr">
        <is>
          <t>CRC, Exy-Mumbai, India | BigMint</t>
        </is>
      </c>
    </row>
    <row r="19">
      <c r="A19" s="2" t="inlineStr">
        <is>
          <t>HR PLATE (20-40mm, Gr E-250</t>
        </is>
      </c>
      <c r="B19" s="3" t="inlineStr">
        <is>
          <t>HR Plate Prices – Hot Rolled Plate Market Rates Today | BigMint</t>
        </is>
      </c>
      <c r="C19" s="3" t="inlineStr">
        <is>
          <t>HR Plate, Exy-Mumbai, India | BigMint</t>
        </is>
      </c>
      <c r="D19" s="1" t="n"/>
      <c r="E19" s="1" t="n">
        <v>57175</v>
      </c>
      <c r="F19" s="1" t="n">
        <v>57800</v>
      </c>
      <c r="G19" s="1" t="n">
        <v>58000</v>
      </c>
      <c r="H19" s="1" t="n">
        <v>56840</v>
      </c>
      <c r="I19" s="1" t="n">
        <v>54925</v>
      </c>
      <c r="J19" s="1" t="n">
        <v>53266.67</v>
      </c>
      <c r="K19" s="1" t="n">
        <v>53575</v>
      </c>
      <c r="L19" s="1" t="n">
        <v>52525</v>
      </c>
      <c r="M19" s="1" t="n">
        <v>50840</v>
      </c>
      <c r="N19" s="1" t="n">
        <v>52125</v>
      </c>
      <c r="O19" s="1" t="n">
        <v>52400</v>
      </c>
      <c r="P19" s="1" t="n">
        <v>53475</v>
      </c>
      <c r="Q19" s="4" t="n">
        <v>55100</v>
      </c>
      <c r="R19" s="4" t="n">
        <v>55200</v>
      </c>
      <c r="S19" s="4" t="n">
        <v>54850</v>
      </c>
      <c r="T19" s="4" t="n">
        <v>54475</v>
      </c>
      <c r="U19" s="5" t="n">
        <v>54525</v>
      </c>
      <c r="V19" s="5" t="n">
        <v>54125</v>
      </c>
      <c r="W19" s="5" t="n">
        <v>52575</v>
      </c>
      <c r="X19" s="5" t="n">
        <v>52100</v>
      </c>
      <c r="Y19" s="5" t="n">
        <v>51740</v>
      </c>
      <c r="Z19" s="5" t="n">
        <v>55250</v>
      </c>
      <c r="AA19" s="4" t="n">
        <v>58100</v>
      </c>
      <c r="AB19" s="4" t="n">
        <v>59200</v>
      </c>
      <c r="AC19" s="4" t="n">
        <v>61980</v>
      </c>
      <c r="AD19" s="4" t="n">
        <v>60725</v>
      </c>
      <c r="AE19" s="4" t="n">
        <v>60700</v>
      </c>
      <c r="AF19" s="4" t="n">
        <v>60533.33</v>
      </c>
      <c r="AG19" s="4" t="n">
        <v>60300</v>
      </c>
      <c r="AH19" s="9" t="inlineStr">
        <is>
          <t>HR Plate, Exy-Mumbai, India | BigMint</t>
        </is>
      </c>
      <c r="AI19" s="7" t="inlineStr">
        <is>
          <t>https://www.bigmint.co/prices/detail/hr-plate-exy-mumbai-india-1496-f-INR</t>
        </is>
      </c>
      <c r="AJ19" s="7" t="inlineStr">
        <is>
          <t>HR Plate Prices – Hot Rolled Plate Market Rates Today | BigMint</t>
        </is>
      </c>
      <c r="AK19" s="7" t="inlineStr">
        <is>
          <t>HR Plate, Exy-Mumbai, India | BigMint</t>
        </is>
      </c>
    </row>
    <row r="20">
      <c r="A20" s="2" t="inlineStr">
        <is>
          <t>GP (0.8mm,80 GSM) (Mumbai)</t>
        </is>
      </c>
      <c r="B20" s="3" t="inlineStr">
        <is>
          <t>Prices | BigMint</t>
        </is>
      </c>
      <c r="C20" s="3" t="inlineStr">
        <is>
          <t>GP, Exy-Mumbai, India | BigMint</t>
        </is>
      </c>
      <c r="D20" s="1" t="n"/>
      <c r="E20" s="1" t="n">
        <v>63100</v>
      </c>
      <c r="F20" s="1" t="n">
        <v>63780</v>
      </c>
      <c r="G20" s="1" t="n">
        <v>63800</v>
      </c>
      <c r="H20" s="1" t="n">
        <v>62500</v>
      </c>
      <c r="I20" s="1" t="n">
        <v>60320</v>
      </c>
      <c r="J20" s="1" t="n">
        <v>57775</v>
      </c>
      <c r="K20" s="1" t="n">
        <v>56000</v>
      </c>
      <c r="L20" s="1" t="n">
        <v>57100</v>
      </c>
      <c r="M20" s="1" t="n">
        <v>56575</v>
      </c>
      <c r="N20" s="1" t="n">
        <v>56560</v>
      </c>
      <c r="O20" s="1" t="n">
        <v>57275</v>
      </c>
      <c r="P20" s="1" t="n">
        <v>59925</v>
      </c>
      <c r="Q20" s="4" t="n">
        <v>63150</v>
      </c>
      <c r="R20" s="4" t="n">
        <v>64360</v>
      </c>
      <c r="S20" s="4" t="n">
        <v>63375</v>
      </c>
      <c r="T20" s="4" t="n">
        <v>61250</v>
      </c>
      <c r="U20" s="4" t="n">
        <v>61000</v>
      </c>
      <c r="V20" s="5" t="n">
        <v>60825</v>
      </c>
      <c r="W20" s="5" t="n">
        <v>59275</v>
      </c>
      <c r="X20" s="5" t="n">
        <v>58575</v>
      </c>
      <c r="Y20" s="5" t="n">
        <v>59475</v>
      </c>
      <c r="Z20" s="5" t="n">
        <v>64500</v>
      </c>
      <c r="AA20" s="4" t="n">
        <v>67567</v>
      </c>
      <c r="AB20" s="4" t="n">
        <v>71675</v>
      </c>
      <c r="AC20" s="4" t="n">
        <v>78760</v>
      </c>
      <c r="AD20" s="4" t="n">
        <v>75850</v>
      </c>
      <c r="AE20" s="4" t="n">
        <v>74225</v>
      </c>
      <c r="AF20" s="4" t="n">
        <v>72633.33</v>
      </c>
      <c r="AG20" s="4" t="n">
        <v>72400</v>
      </c>
      <c r="AH20" s="10" t="inlineStr">
        <is>
          <t>GP, Exy-Mumbai, India | BigMint</t>
        </is>
      </c>
      <c r="AI20" s="7" t="inlineStr">
        <is>
          <t>https://www.bigmint.co/prices/detail/gp-exy-mumbai-india-1678-f-INR</t>
        </is>
      </c>
      <c r="AJ20" s="7" t="inlineStr">
        <is>
          <t>Prices | BigMint</t>
        </is>
      </c>
      <c r="AK20" s="7" t="inlineStr">
        <is>
          <t>GP, Exy-Mumbai, India | BigMint</t>
        </is>
      </c>
    </row>
    <row r="21">
      <c r="A21" s="11" t="inlineStr">
        <is>
          <t>ERW PIPE HR COIL ( MUMBAI) IS1239 IS1161</t>
        </is>
      </c>
      <c r="B21" s="3" t="inlineStr">
        <is>
          <t>Steel Pipes Prices – Market Rates for MS &amp; GI Pipes | BigMint</t>
        </is>
      </c>
      <c r="C21" s="3" t="inlineStr">
        <is>
          <t>ERW Pipe (HR Coil based), Exy-Mumbai, India | BigMint</t>
        </is>
      </c>
      <c r="D21" s="1" t="n"/>
      <c r="E21" s="1" t="n">
        <v>59500</v>
      </c>
      <c r="F21" s="1" t="n">
        <v>60500</v>
      </c>
      <c r="G21" s="1" t="n">
        <v>60375</v>
      </c>
      <c r="H21" s="1" t="n">
        <v>57900</v>
      </c>
      <c r="I21" s="1" t="n">
        <v>54750</v>
      </c>
      <c r="J21" s="1" t="n">
        <v>51250</v>
      </c>
      <c r="K21" s="1" t="n">
        <v>51000</v>
      </c>
      <c r="L21" s="1" t="n">
        <v>51875</v>
      </c>
      <c r="M21" s="1" t="n">
        <v>51375</v>
      </c>
      <c r="N21" s="1" t="n">
        <v>51500</v>
      </c>
      <c r="O21" s="1" t="n">
        <v>53250</v>
      </c>
      <c r="P21" s="1" t="n">
        <v>56000</v>
      </c>
      <c r="Q21" s="4" t="n">
        <v>58760</v>
      </c>
      <c r="R21" s="4" t="n">
        <v>59625</v>
      </c>
      <c r="S21" s="4" t="n">
        <v>58900</v>
      </c>
      <c r="T21" s="4" t="n">
        <v>55750</v>
      </c>
      <c r="U21" s="4" t="n">
        <v>54875</v>
      </c>
      <c r="V21" s="5" t="n">
        <v>54750</v>
      </c>
      <c r="W21" s="5" t="n">
        <v>53100</v>
      </c>
      <c r="X21" s="5" t="n">
        <v>52800</v>
      </c>
      <c r="Y21" s="5" t="n">
        <v>51460</v>
      </c>
      <c r="Z21" s="5" t="n">
        <v>56150</v>
      </c>
      <c r="AA21" s="4" t="n">
        <v>58017</v>
      </c>
      <c r="AB21" s="4" t="n">
        <v>59275</v>
      </c>
      <c r="AC21" s="4" t="n">
        <v>65280</v>
      </c>
      <c r="AD21" s="4" t="n">
        <v>64738</v>
      </c>
      <c r="AE21" s="4" t="n">
        <v>62850</v>
      </c>
      <c r="AF21" s="4" t="n">
        <v>61666.67</v>
      </c>
      <c r="AG21" s="4" t="n">
        <v>61000</v>
      </c>
      <c r="AH21" s="10" t="inlineStr">
        <is>
          <t>ERW Pipe (HR Coil based), Exy-Mumbai, India | BigMint</t>
        </is>
      </c>
      <c r="AI21" s="7" t="inlineStr">
        <is>
          <t>https://www.bigmint.co/prices/detail/erw-pipe-hr-coil-based-exy-mumbai-india-1475-f-INR</t>
        </is>
      </c>
      <c r="AJ21" s="7" t="inlineStr">
        <is>
          <t>Steel Pipes Prices – Market Rates for MS &amp; GI Pipes | BigMint</t>
        </is>
      </c>
      <c r="AK21" s="7" t="inlineStr">
        <is>
          <t>ERW Pipe (HR Coil based), Exy-Mumbai, India | BigMint</t>
        </is>
      </c>
    </row>
    <row r="22">
      <c r="A22" s="11" t="inlineStr">
        <is>
          <t>ERW PIPE HR COIL ( DELHI)</t>
        </is>
      </c>
      <c r="B22" s="3" t="inlineStr">
        <is>
          <t>Steel Pipes Prices – Market Rates for MS &amp; GI Pipes | BigMint</t>
        </is>
      </c>
      <c r="C22" s="3" t="inlineStr">
        <is>
          <t>ERW Pipe (HR Coil based), Exy-Delhi, India | BigMint</t>
        </is>
      </c>
      <c r="D22" s="1" t="n"/>
      <c r="E22" s="1" t="n">
        <v>61750</v>
      </c>
      <c r="F22" s="1" t="n">
        <v>61800</v>
      </c>
      <c r="G22" s="1" t="n">
        <v>61750</v>
      </c>
      <c r="H22" s="1" t="n">
        <v>59000</v>
      </c>
      <c r="I22" s="1" t="n">
        <v>55750</v>
      </c>
      <c r="J22" s="1" t="n">
        <v>52500</v>
      </c>
      <c r="K22" s="1" t="n">
        <v>52000</v>
      </c>
      <c r="L22" s="1" t="n">
        <v>52750</v>
      </c>
      <c r="M22" s="1" t="n">
        <v>52500</v>
      </c>
      <c r="N22" s="1" t="n">
        <v>52500</v>
      </c>
      <c r="O22" s="1" t="n">
        <v>54250</v>
      </c>
      <c r="P22" s="1" t="n">
        <v>57000</v>
      </c>
      <c r="Q22" s="4" t="n">
        <v>59880</v>
      </c>
      <c r="R22" s="4" t="n">
        <v>60625</v>
      </c>
      <c r="S22" s="4" t="n">
        <v>59500</v>
      </c>
      <c r="T22" s="4" t="n">
        <v>57125</v>
      </c>
      <c r="U22" s="4" t="n">
        <v>57000</v>
      </c>
      <c r="V22" s="5" t="n">
        <v>57000</v>
      </c>
      <c r="W22" s="5" t="n">
        <v>56300</v>
      </c>
      <c r="X22" s="5" t="n">
        <v>55650</v>
      </c>
      <c r="Y22" s="5" t="n">
        <v>54900</v>
      </c>
      <c r="Z22" s="5" t="n">
        <v>59850</v>
      </c>
      <c r="AA22" s="4" t="n">
        <v>61067</v>
      </c>
      <c r="AB22" s="4" t="n">
        <v>61788</v>
      </c>
      <c r="AC22" s="4" t="n">
        <v>66260</v>
      </c>
      <c r="AD22" s="4" t="n">
        <v>65100</v>
      </c>
      <c r="AE22" s="4" t="n">
        <v>63350</v>
      </c>
      <c r="AF22" s="4" t="n">
        <v>62200</v>
      </c>
      <c r="AG22" s="4" t="n">
        <v>62200</v>
      </c>
      <c r="AH22" s="9" t="inlineStr">
        <is>
          <t>ERW Pipe (HR Coil based), Exy-Delhi, India | BigMint</t>
        </is>
      </c>
      <c r="AI22" s="7" t="inlineStr">
        <is>
          <t>https://www.bigmint.co/prices/detail/erw-pipe-hr-coil-based-exy-delhi-india-1426-f-INR</t>
        </is>
      </c>
      <c r="AJ22" s="7" t="inlineStr">
        <is>
          <t>Steel Pipes Prices – Market Rates for MS &amp; GI Pipes | BigMint</t>
        </is>
      </c>
      <c r="AK22" s="7" t="inlineStr">
        <is>
          <t>ERW Pipe (HR Coil based), Exy-Delhi, India | BigMint</t>
        </is>
      </c>
    </row>
    <row r="23" ht="31.95" customHeight="1">
      <c r="A23" s="11" t="inlineStr">
        <is>
          <t>Galvalume, Exy-Mumbai, (0.5mm/CTL, 1220mm, AZ 150)</t>
        </is>
      </c>
      <c r="E23" s="1" t="n">
        <v>83600</v>
      </c>
      <c r="F23" s="1" t="n">
        <v>83260</v>
      </c>
      <c r="G23" s="1" t="n">
        <v>83075</v>
      </c>
      <c r="H23" s="1" t="n">
        <v>81625</v>
      </c>
      <c r="I23" s="1" t="n">
        <v>79140</v>
      </c>
      <c r="J23" s="1" t="n">
        <v>77275</v>
      </c>
      <c r="K23" s="1" t="n">
        <v>76425</v>
      </c>
      <c r="L23" s="1" t="n">
        <v>76675</v>
      </c>
      <c r="M23" s="1" t="n">
        <v>75200</v>
      </c>
      <c r="N23" s="1" t="n">
        <v>74060</v>
      </c>
      <c r="O23" s="1" t="n">
        <v>74525</v>
      </c>
      <c r="P23" s="1" t="n">
        <v>76025</v>
      </c>
      <c r="Q23" s="4" t="n">
        <v>77775</v>
      </c>
      <c r="R23" s="4" t="n">
        <v>79460</v>
      </c>
      <c r="S23" s="4" t="n">
        <v>78000</v>
      </c>
      <c r="T23" s="4" t="n">
        <v>76580</v>
      </c>
      <c r="U23" s="4" t="n">
        <v>79600</v>
      </c>
      <c r="V23" s="4" t="n">
        <v>77625</v>
      </c>
      <c r="W23" s="4" t="n">
        <v>76188</v>
      </c>
      <c r="X23" s="4" t="n">
        <v>75625</v>
      </c>
      <c r="Y23" s="4" t="n">
        <v>74575</v>
      </c>
      <c r="Z23" s="4" t="n">
        <v>77180</v>
      </c>
      <c r="AA23" s="4" t="n">
        <v>79667</v>
      </c>
      <c r="AB23" s="4" t="n">
        <v>83475</v>
      </c>
      <c r="AC23" s="4" t="n">
        <v>90160</v>
      </c>
      <c r="AD23" s="4" t="n">
        <v>89325</v>
      </c>
      <c r="AE23" s="4" t="n">
        <v>89875</v>
      </c>
      <c r="AF23" s="4" t="n">
        <v>89500</v>
      </c>
      <c r="AG23" s="4" t="n">
        <v>89500</v>
      </c>
      <c r="AH23" s="9" t="inlineStr">
        <is>
          <t>Galvalume, Exy-Mumbai, India (0.5mm / CTL, 1220mm, AZ 150, IS15961)</t>
        </is>
      </c>
      <c r="AI23" s="7" t="inlineStr">
        <is>
          <t>https://www.bigmint.co/prices/detail/galvalume-exy-mumbai-india-1521-f-INR</t>
        </is>
      </c>
    </row>
    <row r="24" ht="31.2" customHeight="1">
      <c r="A24" s="11" t="inlineStr">
        <is>
          <t>Galvalume, Exy-Mumbai, (0.5mm/CTL, 1220mm, AZ 70)</t>
        </is>
      </c>
      <c r="E24" s="1" t="n">
        <v>80600</v>
      </c>
      <c r="F24" s="1" t="n">
        <v>80260</v>
      </c>
      <c r="G24" s="1" t="n">
        <v>80075</v>
      </c>
      <c r="H24" s="1" t="n">
        <v>78625</v>
      </c>
      <c r="I24" s="1" t="n">
        <v>76120</v>
      </c>
      <c r="J24" s="1" t="n">
        <v>74325</v>
      </c>
      <c r="K24" s="1" t="n">
        <v>73800</v>
      </c>
      <c r="L24" s="1" t="n">
        <v>73775</v>
      </c>
      <c r="M24" s="1" t="n">
        <v>72175</v>
      </c>
      <c r="N24" s="1" t="n">
        <v>71060</v>
      </c>
      <c r="O24" s="1" t="n">
        <v>71350</v>
      </c>
      <c r="P24" s="1" t="n">
        <v>72950</v>
      </c>
      <c r="Q24" s="4" t="n">
        <v>74775</v>
      </c>
      <c r="R24" s="4" t="n">
        <v>76460</v>
      </c>
      <c r="S24" s="4" t="n">
        <v>75250</v>
      </c>
      <c r="T24" s="4" t="n">
        <v>73560</v>
      </c>
      <c r="U24" s="4" t="n">
        <v>76600</v>
      </c>
      <c r="V24" s="4" t="n">
        <v>74625</v>
      </c>
      <c r="W24" s="4" t="n">
        <v>73188</v>
      </c>
      <c r="X24" s="4" t="n">
        <v>72625</v>
      </c>
      <c r="Y24" s="4" t="n">
        <v>71575</v>
      </c>
      <c r="Z24" s="4" t="n">
        <v>74180</v>
      </c>
      <c r="AA24" s="4" t="n">
        <v>76666</v>
      </c>
      <c r="AB24" s="4" t="n">
        <v>80475</v>
      </c>
      <c r="AC24" s="4" t="n">
        <v>87160</v>
      </c>
      <c r="AD24" s="4" t="n">
        <v>86325</v>
      </c>
      <c r="AE24" s="4" t="n">
        <v>86875</v>
      </c>
      <c r="AF24" s="4" t="n">
        <v>86500</v>
      </c>
      <c r="AG24" s="4" t="n">
        <v>86500</v>
      </c>
      <c r="AH24" s="9" t="inlineStr">
        <is>
          <t>Galvalume, Exy-Mumbai, India (0.5mm / CTL, 1220mm, AZ 70, IS15961)</t>
        </is>
      </c>
      <c r="AI24" s="7" t="inlineStr">
        <is>
          <t>https://www.bigmint.co/prices/detail/galvalume-exy-mumbai-india-1518-f-INR</t>
        </is>
      </c>
    </row>
    <row r="25" ht="31.95" customHeight="1">
      <c r="A25" s="11" t="inlineStr">
        <is>
          <t>PPGI, Exy-Mumbai, India (0.5mm / CTL, 90 GSM, IS14246)</t>
        </is>
      </c>
      <c r="E25" s="1" t="inlineStr">
        <is>
          <t>—</t>
        </is>
      </c>
      <c r="F25" s="1" t="inlineStr">
        <is>
          <t>—</t>
        </is>
      </c>
      <c r="G25" s="1" t="inlineStr">
        <is>
          <t>—</t>
        </is>
      </c>
      <c r="H25" s="1" t="inlineStr">
        <is>
          <t>—</t>
        </is>
      </c>
      <c r="I25" s="1" t="inlineStr">
        <is>
          <t>—</t>
        </is>
      </c>
      <c r="J25" s="1" t="inlineStr">
        <is>
          <t>—</t>
        </is>
      </c>
      <c r="K25" s="1" t="inlineStr">
        <is>
          <t>—</t>
        </is>
      </c>
      <c r="L25" s="1" t="inlineStr">
        <is>
          <t>—</t>
        </is>
      </c>
      <c r="M25" s="1" t="inlineStr">
        <is>
          <t>—</t>
        </is>
      </c>
      <c r="N25" s="1" t="inlineStr">
        <is>
          <t>—</t>
        </is>
      </c>
      <c r="O25" s="1" t="inlineStr">
        <is>
          <t>—</t>
        </is>
      </c>
      <c r="P25" s="1" t="inlineStr">
        <is>
          <t>—</t>
        </is>
      </c>
      <c r="Q25" s="4" t="n">
        <v>73425</v>
      </c>
      <c r="R25" s="4" t="n">
        <v>74440</v>
      </c>
      <c r="S25" s="4" t="n">
        <v>74025</v>
      </c>
      <c r="T25" s="4" t="n">
        <v>77620</v>
      </c>
      <c r="U25" s="4" t="n">
        <v>73750</v>
      </c>
      <c r="V25" s="4" t="n">
        <v>73150</v>
      </c>
      <c r="W25" s="4" t="n">
        <v>69925</v>
      </c>
      <c r="X25" s="4" t="n">
        <v>68600</v>
      </c>
      <c r="Y25" s="4" t="n">
        <v>69175</v>
      </c>
      <c r="Z25" s="4" t="n">
        <v>73720</v>
      </c>
      <c r="AA25" s="4" t="n">
        <v>77100</v>
      </c>
      <c r="AB25" s="4" t="n">
        <v>79000</v>
      </c>
      <c r="AC25" s="4" t="n">
        <v>87700</v>
      </c>
      <c r="AD25" s="4" t="n">
        <v>85700</v>
      </c>
      <c r="AE25" s="4" t="n">
        <v>85275</v>
      </c>
      <c r="AF25" s="4" t="n">
        <v>85200</v>
      </c>
      <c r="AG25" s="4" t="n">
        <v>85200</v>
      </c>
      <c r="AH25" s="9" t="inlineStr">
        <is>
          <t>PPGI, Exy-Mumbai, India (0.5mm / CTL, 90 GSM, IS14246)</t>
        </is>
      </c>
      <c r="AI25" s="7" t="inlineStr">
        <is>
          <t>https://www.bigmint.co/prices/detail/ppgi-exy-mumbai-india-1369-f-INR</t>
        </is>
      </c>
    </row>
  </sheetData>
  <hyperlinks>
    <hyperlink xmlns:r="http://schemas.openxmlformats.org/officeDocument/2006/relationships" ref="B2" display="https://www.bigmint.co/prices/ferrous/scrap-metallics/pig-iron" r:id="rId1"/>
    <hyperlink xmlns:r="http://schemas.openxmlformats.org/officeDocument/2006/relationships" ref="C2" display="https://www.bigmint.co/prices/detail/pig-iron-dap-raipur-india-1102-f-INR" r:id="rId2"/>
    <hyperlink xmlns:r="http://schemas.openxmlformats.org/officeDocument/2006/relationships" ref="AI2" r:id="rId3"/>
    <hyperlink xmlns:r="http://schemas.openxmlformats.org/officeDocument/2006/relationships" ref="AJ2" display="https://www.bigmint.co/prices/ferrous/scrap-metallics/pig-iron" r:id="rId4"/>
    <hyperlink xmlns:r="http://schemas.openxmlformats.org/officeDocument/2006/relationships" ref="AK2" display="https://www.bigmint.co/prices/detail/pig-iron-dap-raipur-india-1102-f-INR" r:id="rId5"/>
    <hyperlink xmlns:r="http://schemas.openxmlformats.org/officeDocument/2006/relationships" ref="B3" display="https://www.bigmint.co/prices/ferrous/scrap-metallics/pig-iron" r:id="rId6"/>
    <hyperlink xmlns:r="http://schemas.openxmlformats.org/officeDocument/2006/relationships" ref="C3" display="https://www.bigmint.co/prices/detail/pig-iron-dap-ludhiana-india-1100-f-INR" r:id="rId7"/>
    <hyperlink xmlns:r="http://schemas.openxmlformats.org/officeDocument/2006/relationships" ref="AI3" r:id="rId8"/>
    <hyperlink xmlns:r="http://schemas.openxmlformats.org/officeDocument/2006/relationships" ref="AJ3" display="https://www.bigmint.co/prices/ferrous/scrap-metallics/pig-iron" r:id="rId9"/>
    <hyperlink xmlns:r="http://schemas.openxmlformats.org/officeDocument/2006/relationships" ref="AK3" display="https://www.bigmint.co/prices/detail/pig-iron-dap-ludhiana-india-1100-f-INR" r:id="rId10"/>
    <hyperlink xmlns:r="http://schemas.openxmlformats.org/officeDocument/2006/relationships" ref="B4" display="https://www.bigmint.co/prices/ferrous/scrap-metallics/pig-iron" r:id="rId11"/>
    <hyperlink xmlns:r="http://schemas.openxmlformats.org/officeDocument/2006/relationships" ref="C4" display="https://www.bigmint.co/prices/detail/pig-iron-exw-durgapur-india-1096-f-INR" r:id="rId12"/>
    <hyperlink xmlns:r="http://schemas.openxmlformats.org/officeDocument/2006/relationships" ref="AI4" r:id="rId13"/>
    <hyperlink xmlns:r="http://schemas.openxmlformats.org/officeDocument/2006/relationships" ref="AJ4" display="https://www.bigmint.co/prices/ferrous/scrap-metallics/pig-iron" r:id="rId14"/>
    <hyperlink xmlns:r="http://schemas.openxmlformats.org/officeDocument/2006/relationships" ref="AK4" display="https://www.bigmint.co/prices/detail/pig-iron-exw-durgapur-india-1096-f-INR" r:id="rId15"/>
    <hyperlink xmlns:r="http://schemas.openxmlformats.org/officeDocument/2006/relationships" ref="B5" display="https://www.bigmint.co/prices/ferrous/scrap-metallics/pig-iron" r:id="rId16"/>
    <hyperlink xmlns:r="http://schemas.openxmlformats.org/officeDocument/2006/relationships" ref="C5" display="https://www.bigmint.co/prices/detail/pig-iron-dap-hyderabad-india-1098-f-INR" r:id="rId17"/>
    <hyperlink xmlns:r="http://schemas.openxmlformats.org/officeDocument/2006/relationships" ref="AI5" r:id="rId18"/>
    <hyperlink xmlns:r="http://schemas.openxmlformats.org/officeDocument/2006/relationships" ref="AJ5" display="https://www.bigmint.co/prices/ferrous/scrap-metallics/pig-iron" r:id="rId19"/>
    <hyperlink xmlns:r="http://schemas.openxmlformats.org/officeDocument/2006/relationships" ref="AK5" display="https://www.bigmint.co/prices/detail/pig-iron-dap-hyderabad-india-1098-f-INR" r:id="rId20"/>
    <hyperlink xmlns:r="http://schemas.openxmlformats.org/officeDocument/2006/relationships" ref="B6" display="https://www.bigmint.co/prices/ferrous/scrap-metallics/pig-iron" r:id="rId21"/>
    <hyperlink xmlns:r="http://schemas.openxmlformats.org/officeDocument/2006/relationships" ref="C6" display="https://www.bigmint.co/prices/detail/pig-iron-dap-ludhiana-india-1108-f-INR" r:id="rId22"/>
    <hyperlink xmlns:r="http://schemas.openxmlformats.org/officeDocument/2006/relationships" ref="AI6" r:id="rId23"/>
    <hyperlink xmlns:r="http://schemas.openxmlformats.org/officeDocument/2006/relationships" ref="AJ6" display="https://www.bigmint.co/prices/ferrous/scrap-metallics/pig-iron" r:id="rId24"/>
    <hyperlink xmlns:r="http://schemas.openxmlformats.org/officeDocument/2006/relationships" ref="AK6" display="https://www.bigmint.co/prices/detail/pig-iron-dap-ludhiana-india-1108-f-INR" r:id="rId25"/>
    <hyperlink xmlns:r="http://schemas.openxmlformats.org/officeDocument/2006/relationships" ref="B7" display="https://www.bigmint.co/prices/ferrous/scrap-metallics/pig-iron" r:id="rId26"/>
    <hyperlink xmlns:r="http://schemas.openxmlformats.org/officeDocument/2006/relationships" ref="C7" display="https://www.bigmint.co/prices/detail/pig-iron-exw-durgapur-india-1105-f-INR" r:id="rId27"/>
    <hyperlink xmlns:r="http://schemas.openxmlformats.org/officeDocument/2006/relationships" ref="AI7" r:id="rId28"/>
    <hyperlink xmlns:r="http://schemas.openxmlformats.org/officeDocument/2006/relationships" ref="AJ7" display="https://www.bigmint.co/prices/ferrous/scrap-metallics/pig-iron" r:id="rId29"/>
    <hyperlink xmlns:r="http://schemas.openxmlformats.org/officeDocument/2006/relationships" ref="AK7" display="https://www.bigmint.co/prices/detail/pig-iron-exw-durgapur-india-1105-f-INR" r:id="rId30"/>
    <hyperlink xmlns:r="http://schemas.openxmlformats.org/officeDocument/2006/relationships" ref="B8" display="https://www.bigmint.co/prices/ferrous/scrap-metallics/melting-scrap" r:id="rId31"/>
    <hyperlink xmlns:r="http://schemas.openxmlformats.org/officeDocument/2006/relationships" ref="C8" display="https://www.bigmint.co/prices/detail/melting-scrap-dap-raipur-india-1040-f-INR" r:id="rId32"/>
    <hyperlink xmlns:r="http://schemas.openxmlformats.org/officeDocument/2006/relationships" ref="AI8" r:id="rId33"/>
    <hyperlink xmlns:r="http://schemas.openxmlformats.org/officeDocument/2006/relationships" ref="AJ8" display="https://www.bigmint.co/prices/ferrous/scrap-metallics/melting-scrap" r:id="rId34"/>
    <hyperlink xmlns:r="http://schemas.openxmlformats.org/officeDocument/2006/relationships" ref="AK8" display="https://www.bigmint.co/prices/detail/melting-scrap-dap-raipur-india-1040-f-INR" r:id="rId35"/>
    <hyperlink xmlns:r="http://schemas.openxmlformats.org/officeDocument/2006/relationships" ref="B9" display="https://www.bigmint.co/prices/ferrous/scrap-metallics/melting-scrap" r:id="rId36"/>
    <hyperlink xmlns:r="http://schemas.openxmlformats.org/officeDocument/2006/relationships" ref="C9" display="https://www.bigmint.co/prices/detail/melting-scrap-dap-raipur-india-1041-f-INR" r:id="rId37"/>
    <hyperlink xmlns:r="http://schemas.openxmlformats.org/officeDocument/2006/relationships" ref="AI9" r:id="rId38"/>
    <hyperlink xmlns:r="http://schemas.openxmlformats.org/officeDocument/2006/relationships" ref="AJ9" display="https://www.bigmint.co/prices/ferrous/scrap-metallics/melting-scrap" r:id="rId39"/>
    <hyperlink xmlns:r="http://schemas.openxmlformats.org/officeDocument/2006/relationships" ref="AK9" display="https://www.bigmint.co/prices/detail/melting-scrap-dap-raipur-india-1041-f-INR" r:id="rId40"/>
    <hyperlink xmlns:r="http://schemas.openxmlformats.org/officeDocument/2006/relationships" ref="B10" display="https://www.bigmint.co/prices/ferrous/scrap-metallics/sponge-iron" r:id="rId41"/>
    <hyperlink xmlns:r="http://schemas.openxmlformats.org/officeDocument/2006/relationships" ref="C10" display="https://www.bigmint.co/prices/detail/sponge-iron-pdri-exw-raipur-india-1091-f-INR" r:id="rId42"/>
    <hyperlink xmlns:r="http://schemas.openxmlformats.org/officeDocument/2006/relationships" ref="AI10" r:id="rId43"/>
    <hyperlink xmlns:r="http://schemas.openxmlformats.org/officeDocument/2006/relationships" ref="AJ10" display="https://www.bigmint.co/prices/ferrous/scrap-metallics/sponge-iron" r:id="rId44"/>
    <hyperlink xmlns:r="http://schemas.openxmlformats.org/officeDocument/2006/relationships" ref="AK10" display="https://www.bigmint.co/prices/detail/sponge-iron-pdri-exw-raipur-india-1091-f-INR" r:id="rId45"/>
    <hyperlink xmlns:r="http://schemas.openxmlformats.org/officeDocument/2006/relationships" ref="B11" display="https://www.bigmint.co/prices/ferrous/steel/rebar" r:id="rId46"/>
    <hyperlink xmlns:r="http://schemas.openxmlformats.org/officeDocument/2006/relationships" ref="C11" display="https://www.bigmint.co/prices/detail/rebar-exw-mumbai-india-1122-f-INR" r:id="rId47"/>
    <hyperlink xmlns:r="http://schemas.openxmlformats.org/officeDocument/2006/relationships" ref="AI11" r:id="rId48"/>
    <hyperlink xmlns:r="http://schemas.openxmlformats.org/officeDocument/2006/relationships" ref="AJ11" display="https://www.bigmint.co/prices/ferrous/steel/rebar" r:id="rId49"/>
    <hyperlink xmlns:r="http://schemas.openxmlformats.org/officeDocument/2006/relationships" ref="AK11" display="https://www.bigmint.co/prices/detail/rebar-exw-mumbai-india-1122-f-INR" r:id="rId50"/>
    <hyperlink xmlns:r="http://schemas.openxmlformats.org/officeDocument/2006/relationships" ref="B12" display="https://www.bigmint.co/prices/ferrous/steel/rebar" r:id="rId51"/>
    <hyperlink xmlns:r="http://schemas.openxmlformats.org/officeDocument/2006/relationships" ref="C12" display="https://www.bigmint.co/prices/detail/rebar-exw-raipur-india-1117-f-INR" r:id="rId52"/>
    <hyperlink xmlns:r="http://schemas.openxmlformats.org/officeDocument/2006/relationships" ref="AI12" r:id="rId53"/>
    <hyperlink xmlns:r="http://schemas.openxmlformats.org/officeDocument/2006/relationships" ref="AJ12" display="https://www.bigmint.co/prices/ferrous/steel/rebar" r:id="rId54"/>
    <hyperlink xmlns:r="http://schemas.openxmlformats.org/officeDocument/2006/relationships" ref="AK12" display="https://www.bigmint.co/prices/detail/rebar-exw-raipur-india-1117-f-INR" r:id="rId55"/>
    <hyperlink xmlns:r="http://schemas.openxmlformats.org/officeDocument/2006/relationships" ref="B13" display="https://www.bigmint.co/prices/ferrous/steel/rebar" r:id="rId56"/>
    <hyperlink xmlns:r="http://schemas.openxmlformats.org/officeDocument/2006/relationships" ref="C13" display="https://www.bigmint.co/prices/detail/rebar-exy-mumbai-india-1127-f-INR" r:id="rId57"/>
    <hyperlink xmlns:r="http://schemas.openxmlformats.org/officeDocument/2006/relationships" ref="AI13" r:id="rId58"/>
    <hyperlink xmlns:r="http://schemas.openxmlformats.org/officeDocument/2006/relationships" ref="AJ13" display="https://www.bigmint.co/prices/ferrous/steel/rebar" r:id="rId59"/>
    <hyperlink xmlns:r="http://schemas.openxmlformats.org/officeDocument/2006/relationships" ref="AK13" display="https://www.bigmint.co/prices/detail/rebar-exy-mumbai-india-1127-f-INR" r:id="rId60"/>
    <hyperlink xmlns:r="http://schemas.openxmlformats.org/officeDocument/2006/relationships" ref="B14" display="https://www.bigmint.co/prices/ferrous/steel/billetbloomingot" r:id="rId61"/>
    <hyperlink xmlns:r="http://schemas.openxmlformats.org/officeDocument/2006/relationships" ref="C14" display="https://www.bigmint.co/prices/detail/billet-index-exw-raipur-india-1067-f-INR" r:id="rId62"/>
    <hyperlink xmlns:r="http://schemas.openxmlformats.org/officeDocument/2006/relationships" ref="AI14" r:id="rId63"/>
    <hyperlink xmlns:r="http://schemas.openxmlformats.org/officeDocument/2006/relationships" ref="AJ14" display="https://www.bigmint.co/prices/ferrous/steel/billetbloomingot" r:id="rId64"/>
    <hyperlink xmlns:r="http://schemas.openxmlformats.org/officeDocument/2006/relationships" ref="AK14" display="https://www.bigmint.co/prices/detail/billet-index-exw-raipur-india-1067-f-INR" r:id="rId65"/>
    <hyperlink xmlns:r="http://schemas.openxmlformats.org/officeDocument/2006/relationships" ref="B15" display="https://www.bigmint.co/prices/ferrous/steel/billetbloomingot" r:id="rId66"/>
    <hyperlink xmlns:r="http://schemas.openxmlformats.org/officeDocument/2006/relationships" ref="C15" display="https://www.bigmint.co/prices/detail/ingot-exw-raipur-india-1275-f-INR" r:id="rId67"/>
    <hyperlink xmlns:r="http://schemas.openxmlformats.org/officeDocument/2006/relationships" ref="AI15" r:id="rId68"/>
    <hyperlink xmlns:r="http://schemas.openxmlformats.org/officeDocument/2006/relationships" ref="AJ15" display="https://www.bigmint.co/prices/ferrous/steel/billetbloomingot" r:id="rId69"/>
    <hyperlink xmlns:r="http://schemas.openxmlformats.org/officeDocument/2006/relationships" ref="AK15" display="https://www.bigmint.co/prices/detail/ingot-exw-raipur-india-1275-f-INR" r:id="rId70"/>
    <hyperlink xmlns:r="http://schemas.openxmlformats.org/officeDocument/2006/relationships" ref="B16" display="https://www.bigmint.co/prices/ferrous/iron-ore/pellets" r:id="rId71"/>
    <hyperlink xmlns:r="http://schemas.openxmlformats.org/officeDocument/2006/relationships" ref="C16" display="https://www.bigmint.co/prices/detail/pellet-index-pellex-dap-raipur-india-1401-f-INR" r:id="rId72"/>
    <hyperlink xmlns:r="http://schemas.openxmlformats.org/officeDocument/2006/relationships" ref="AI16" r:id="rId73"/>
    <hyperlink xmlns:r="http://schemas.openxmlformats.org/officeDocument/2006/relationships" ref="AJ16" display="https://www.bigmint.co/prices/ferrous/iron-ore/pellets" r:id="rId74"/>
    <hyperlink xmlns:r="http://schemas.openxmlformats.org/officeDocument/2006/relationships" ref="AK16" display="https://www.bigmint.co/prices/detail/pellet-index-pellex-dap-raipur-india-1401-f-INR" r:id="rId75"/>
    <hyperlink xmlns:r="http://schemas.openxmlformats.org/officeDocument/2006/relationships" ref="B17" display="https://www.bigmint.co/prices/ferrous/steel/hrc" r:id="rId76"/>
    <hyperlink xmlns:r="http://schemas.openxmlformats.org/officeDocument/2006/relationships" ref="C17" display="https://www.bigmint.co/prices/detail/hrc-exy-mumbai-india-1234-f-INR" r:id="rId77"/>
    <hyperlink xmlns:r="http://schemas.openxmlformats.org/officeDocument/2006/relationships" ref="AI17" r:id="rId78"/>
    <hyperlink xmlns:r="http://schemas.openxmlformats.org/officeDocument/2006/relationships" ref="AJ17" display="https://www.bigmint.co/prices/ferrous/steel/hrc" r:id="rId79"/>
    <hyperlink xmlns:r="http://schemas.openxmlformats.org/officeDocument/2006/relationships" ref="AK17" display="https://www.bigmint.co/prices/detail/hrc-exy-mumbai-india-1234-f-INR" r:id="rId80"/>
    <hyperlink xmlns:r="http://schemas.openxmlformats.org/officeDocument/2006/relationships" ref="B18" display="https://www.bigmint.co/prices/ferrous/steel/crc" r:id="rId81"/>
    <hyperlink xmlns:r="http://schemas.openxmlformats.org/officeDocument/2006/relationships" ref="C18" display="https://www.bigmint.co/prices/detail/crc-exy-mumbai-india-1243-f-INR" r:id="rId82"/>
    <hyperlink xmlns:r="http://schemas.openxmlformats.org/officeDocument/2006/relationships" ref="AI18" r:id="rId83"/>
    <hyperlink xmlns:r="http://schemas.openxmlformats.org/officeDocument/2006/relationships" ref="AJ18" display="https://www.bigmint.co/prices/ferrous/steel/crc" r:id="rId84"/>
    <hyperlink xmlns:r="http://schemas.openxmlformats.org/officeDocument/2006/relationships" ref="AK18" display="https://www.bigmint.co/prices/detail/crc-exy-mumbai-india-1243-f-INR" r:id="rId85"/>
    <hyperlink xmlns:r="http://schemas.openxmlformats.org/officeDocument/2006/relationships" ref="B19" display="https://www.bigmint.co/prices/ferrous/steel/hr-plate" r:id="rId86"/>
    <hyperlink xmlns:r="http://schemas.openxmlformats.org/officeDocument/2006/relationships" ref="C19" display="https://www.bigmint.co/prices/detail/hr-plate-exy-mumbai-india-1496-f-INR" r:id="rId87"/>
    <hyperlink xmlns:r="http://schemas.openxmlformats.org/officeDocument/2006/relationships" ref="AI19" r:id="rId88"/>
    <hyperlink xmlns:r="http://schemas.openxmlformats.org/officeDocument/2006/relationships" ref="AJ19" display="https://www.bigmint.co/prices/ferrous/steel/hr-plate" r:id="rId89"/>
    <hyperlink xmlns:r="http://schemas.openxmlformats.org/officeDocument/2006/relationships" ref="AK19" display="https://www.bigmint.co/prices/detail/hr-plate-exy-mumbai-india-1496-f-INR" r:id="rId90"/>
    <hyperlink xmlns:r="http://schemas.openxmlformats.org/officeDocument/2006/relationships" ref="B20" display="https://www.bigmint.co/prices/ferrous/steel/gp" r:id="rId91"/>
    <hyperlink xmlns:r="http://schemas.openxmlformats.org/officeDocument/2006/relationships" ref="C20" display="https://www.bigmint.co/prices/detail/gp-exy-mumbai-india-1678-f-INR" r:id="rId92"/>
    <hyperlink xmlns:r="http://schemas.openxmlformats.org/officeDocument/2006/relationships" ref="AI20" r:id="rId93"/>
    <hyperlink xmlns:r="http://schemas.openxmlformats.org/officeDocument/2006/relationships" ref="AJ20" display="https://www.bigmint.co/prices/ferrous/steel/gp" r:id="rId94"/>
    <hyperlink xmlns:r="http://schemas.openxmlformats.org/officeDocument/2006/relationships" ref="AK20" display="https://www.bigmint.co/prices/detail/gp-exy-mumbai-india-1678-f-INR" r:id="rId95"/>
    <hyperlink xmlns:r="http://schemas.openxmlformats.org/officeDocument/2006/relationships" ref="B21" display="https://www.bigmint.co/prices/ferrous/steel/pipes" r:id="rId96"/>
    <hyperlink xmlns:r="http://schemas.openxmlformats.org/officeDocument/2006/relationships" ref="C21" display="https://www.bigmint.co/prices/detail/erw-pipe-hr-coil-based-exy-mumbai-india-1475-f-INR" r:id="rId97"/>
    <hyperlink xmlns:r="http://schemas.openxmlformats.org/officeDocument/2006/relationships" ref="AI21" r:id="rId98"/>
    <hyperlink xmlns:r="http://schemas.openxmlformats.org/officeDocument/2006/relationships" ref="AJ21" display="https://www.bigmint.co/prices/ferrous/steel/pipes" r:id="rId99"/>
    <hyperlink xmlns:r="http://schemas.openxmlformats.org/officeDocument/2006/relationships" ref="AK21" display="https://www.bigmint.co/prices/detail/erw-pipe-hr-coil-based-exy-mumbai-india-1475-f-INR" r:id="rId100"/>
    <hyperlink xmlns:r="http://schemas.openxmlformats.org/officeDocument/2006/relationships" ref="B22" display="https://www.bigmint.co/prices/ferrous/steel/pipes" r:id="rId101"/>
    <hyperlink xmlns:r="http://schemas.openxmlformats.org/officeDocument/2006/relationships" ref="C22" display="https://www.bigmint.co/prices/detail/erw-pipe-hr-coil-based-exy-delhi-india-1426-f-INR" r:id="rId102"/>
    <hyperlink xmlns:r="http://schemas.openxmlformats.org/officeDocument/2006/relationships" ref="AI22" r:id="rId103"/>
    <hyperlink xmlns:r="http://schemas.openxmlformats.org/officeDocument/2006/relationships" ref="AJ22" display="https://www.bigmint.co/prices/ferrous/steel/pipes" r:id="rId104"/>
    <hyperlink xmlns:r="http://schemas.openxmlformats.org/officeDocument/2006/relationships" ref="AK22" display="https://www.bigmint.co/prices/detail/erw-pipe-hr-coil-based-exy-delhi-india-1426-f-INR" r:id="rId105"/>
    <hyperlink xmlns:r="http://schemas.openxmlformats.org/officeDocument/2006/relationships" ref="AI23" r:id="rId106"/>
    <hyperlink xmlns:r="http://schemas.openxmlformats.org/officeDocument/2006/relationships" ref="AI24" r:id="rId107"/>
    <hyperlink xmlns:r="http://schemas.openxmlformats.org/officeDocument/2006/relationships" ref="AI25" r:id="rId10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topLeftCell="C9" zoomScale="52" workbookViewId="0">
      <selection activeCell="AI39" sqref="AI39"/>
    </sheetView>
  </sheetViews>
  <sheetFormatPr baseColWidth="8" defaultRowHeight="14.4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Vaishna V</dc:creator>
  <dcterms:created xmlns:dcterms="http://purl.org/dc/terms/" xmlns:xsi="http://www.w3.org/2001/XMLSchema-instance" xsi:type="dcterms:W3CDTF">2026-07-07T15:05:07Z</dcterms:created>
  <dcterms:modified xmlns:dcterms="http://purl.org/dc/terms/" xmlns:xsi="http://www.w3.org/2001/XMLSchema-instance" xsi:type="dcterms:W3CDTF">2026-10-28T05:09:18Z</dcterms:modified>
  <cp:lastModifiedBy>Sujal Bisani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0x0101003CE73980A6E7D64B9FBB1109D13791E3</vt:lpwstr>
  </property>
</Properties>
</file>